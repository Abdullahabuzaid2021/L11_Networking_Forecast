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Hackathon exercise/"/>
    </mc:Choice>
  </mc:AlternateContent>
  <xr:revisionPtr revIDLastSave="17" documentId="8_{6E508D24-7749-47EE-B880-92AFFDBE73FE}" xr6:coauthVersionLast="47" xr6:coauthVersionMax="47" xr10:uidLastSave="{27AE290F-A193-4821-9890-91DB72D0573A}"/>
  <bookViews>
    <workbookView xWindow="-38520" yWindow="-2385" windowWidth="38640" windowHeight="21120" tabRatio="762" firstSheet="2" activeTab="2" xr2:uid="{7B32C1FE-A573-4662-B1BF-9EBE43181AD9}"/>
  </bookViews>
  <sheets>
    <sheet name="P&amp;L" sheetId="58" state="hidden" r:id="rId1"/>
    <sheet name="GOAL Export" sheetId="57" state="hidden" r:id="rId2"/>
    <sheet name="PnL SN6600-LD" sheetId="75" r:id="rId3"/>
    <sheet name="Services Summary" sheetId="28" state="hidden" r:id="rId4"/>
    <sheet name="DW2000P_1" sheetId="11" state="hidden" r:id="rId5"/>
    <sheet name="Compute_Management" sheetId="1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56F9DC9755BA473782653E2940F9FormId">"mhlclKKDgE6fjFqRvldS3VTyrQc3qIJOpCoYkY-9sxNUQkxLTjBLT1NSUzc0VzNEV00zSkhQSktLTS4u"</definedName>
    <definedName name="_56F9DC9755BA473782653E2940F9ResponseSheet">"Form1"</definedName>
    <definedName name="_56F9DC9755BA473782653E2940F9SourceDocId">"{8a994947-8c73-49f0-af16-597f5a835ce5}"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0</definedName>
    <definedName name="_Sort" localSheetId="2" hidden="1">#REF!</definedName>
    <definedName name="_Sort" hidden="1">#REF!</definedName>
    <definedName name="anscount" hidden="1">2</definedName>
    <definedName name="AssetCount">#REF!</definedName>
    <definedName name="BILL_TO_ADDRESS" localSheetId="2">#REF!</definedName>
    <definedName name="BILL_TO_ADDRESS">#REF!</definedName>
    <definedName name="BILL_TO_CONTACT" localSheetId="2">#REF!</definedName>
    <definedName name="BILL_TO_CONTACT">#REF!</definedName>
    <definedName name="BILL_TO_LABEL" localSheetId="2">#REF!</definedName>
    <definedName name="BILL_TO_LABEL">#REF!</definedName>
    <definedName name="BILL_TO_NAME" localSheetId="2">#REF!</definedName>
    <definedName name="BILL_TO_NAME">#REF!</definedName>
    <definedName name="BILL_TO_PHONE" localSheetId="2">#REF!</definedName>
    <definedName name="BILL_TO_PHONE">#REF!</definedName>
    <definedName name="BOM_All_Parts" localSheetId="2">#REF!</definedName>
    <definedName name="BOM_All_Parts">#REF!</definedName>
    <definedName name="BOM_Cables_CAT6" localSheetId="2">#REF!</definedName>
    <definedName name="BOM_Cables_CAT6">#REF!</definedName>
    <definedName name="BOM_Cables_DAC_O112" localSheetId="2">#REF!</definedName>
    <definedName name="BOM_Cables_DAC_O112">#REF!</definedName>
    <definedName name="BOM_Cables_MPO_to_4x_LC" localSheetId="2">#REF!</definedName>
    <definedName name="BOM_Cables_MPO_to_4x_LC">#REF!</definedName>
    <definedName name="BOM_Cables_MPO12" localSheetId="2">#REF!</definedName>
    <definedName name="BOM_Cables_MPO12">#REF!</definedName>
    <definedName name="BOM_Cables_OSFP" localSheetId="2">#REF!</definedName>
    <definedName name="BOM_Cables_OSFP">#REF!</definedName>
    <definedName name="BOM_Fiber_Distribution" localSheetId="2">#REF!</definedName>
    <definedName name="BOM_Fiber_Distribution">#REF!</definedName>
    <definedName name="BOM_Optics" localSheetId="2">#REF!</definedName>
    <definedName name="BOM_Optics">#REF!</definedName>
    <definedName name="BOM_PDU" localSheetId="2">#REF!</definedName>
    <definedName name="BOM_PDU">#REF!</definedName>
    <definedName name="BOM_Racks_Aircool" localSheetId="2">#REF!</definedName>
    <definedName name="BOM_Racks_Aircool">#REF!</definedName>
    <definedName name="BOM_Racks_Sidecar" localSheetId="2">#REF!</definedName>
    <definedName name="BOM_Racks_Sidecar">#REF!</definedName>
    <definedName name="BOM_Switch_100G" localSheetId="2">#REF!</definedName>
    <definedName name="BOM_Switch_100G">#REF!</definedName>
    <definedName name="BOM_Switch_400G" localSheetId="2">#REF!</definedName>
    <definedName name="BOM_Switch_400G">#REF!</definedName>
    <definedName name="BOM_Switch_800G" localSheetId="2">#REF!</definedName>
    <definedName name="BOM_Switch_800G">#REF!</definedName>
    <definedName name="BOM_Switch_IB_144_port" localSheetId="2">#REF!</definedName>
    <definedName name="BOM_Switch_IB_144_port">#REF!</definedName>
    <definedName name="BOM_Switch_Spectrum_Fabric" localSheetId="2">#REF!</definedName>
    <definedName name="BOM_Switch_Spectrum_Fabric">#REF!</definedName>
    <definedName name="BOM_Switch_Spectrum_OOB" localSheetId="2">#REF!</definedName>
    <definedName name="BOM_Switch_Spectrum_OOB">#REF!</definedName>
    <definedName name="BOM_Switch_Spectrum_OOB_Aggr" localSheetId="2">#REF!</definedName>
    <definedName name="BOM_Switch_Spectrum_OOB_Aggr">#REF!</definedName>
    <definedName name="BOM_Transceiver_NIC" localSheetId="2">#REF!</definedName>
    <definedName name="BOM_Transceiver_NIC">#REF!</definedName>
    <definedName name="BOM_Transceiver_Switch" localSheetId="2">#REF!</definedName>
    <definedName name="BOM_Transceiver_Switch">#REF!</definedName>
    <definedName name="BRS_FLOOR_ANALYSIS_LINES_TO_FORMAT0" localSheetId="2">#REF!</definedName>
    <definedName name="BRS_FLOOR_ANALYSIS_LINES_TO_FORMAT0">#REF!</definedName>
    <definedName name="BRS_FLOOR_ANALYSIS_LINES_TO_FORMAT1" localSheetId="2">#REF!</definedName>
    <definedName name="BRS_FLOOR_ANALYSIS_LINES_TO_FORMAT1">#REF!</definedName>
    <definedName name="BRS_FLOOR_ANALYSIS_SECTION" localSheetId="2">#REF!</definedName>
    <definedName name="BRS_FLOOR_ANALYSIS_SECTION">#REF!</definedName>
    <definedName name="CBWorkbookPriority" hidden="1">-1010689980</definedName>
    <definedName name="CFG_SECTION" localSheetId="2">#REF!</definedName>
    <definedName name="CFG_SECTION">#REF!</definedName>
    <definedName name="CFG_SUBTOTAL_ALL" localSheetId="2">#REF!</definedName>
    <definedName name="CFG_SUBTOTAL_ALL">#REF!</definedName>
    <definedName name="CFG_SUBTOTAL_HW" localSheetId="2">#REF!</definedName>
    <definedName name="CFG_SUBTOTAL_HW">#REF!</definedName>
    <definedName name="CFG_SUBTOTAL_MW" localSheetId="2">#REF!</definedName>
    <definedName name="CFG_SUBTOTAL_MW">#REF!</definedName>
    <definedName name="CFG_SUBTOTAL_PS" localSheetId="2">#REF!</definedName>
    <definedName name="CFG_SUBTOTAL_PS">#REF!</definedName>
    <definedName name="CFG_SUBTOTAL_SECTION" localSheetId="2">#REF!</definedName>
    <definedName name="CFG_SUBTOTAL_SECTION">#REF!</definedName>
    <definedName name="CFG_SUBTOTAL_SW" localSheetId="2">#REF!</definedName>
    <definedName name="CFG_SUBTOTAL_SW">#REF!</definedName>
    <definedName name="CFG_TITLE_FLD_CFG_NAME" localSheetId="2">#REF!</definedName>
    <definedName name="CFG_TITLE_FLD_CFG_NAME">#REF!</definedName>
    <definedName name="CFG_TITLE_SECTION" localSheetId="2">#REF!</definedName>
    <definedName name="CFG_TITLE_SECTION">#REF!</definedName>
    <definedName name="CSI_FLD_CSI_DESCRIPTION" localSheetId="2">#REF!</definedName>
    <definedName name="CSI_FLD_CSI_DESCRIPTION">#REF!</definedName>
    <definedName name="CSI_FLD_CSI_NAME" localSheetId="2">#REF!</definedName>
    <definedName name="CSI_FLD_CSI_NAME">#REF!</definedName>
    <definedName name="CSI_FLD_CSI_SERIAL_NUMBER" localSheetId="2">#REF!</definedName>
    <definedName name="CSI_FLD_CSI_SERIAL_NUMBER">#REF!</definedName>
    <definedName name="CSI_LABEL_FORCOPY_SERIAL_NUMBER" localSheetId="2">#REF!</definedName>
    <definedName name="CSI_LABEL_FORCOPY_SERIAL_NUMBER">#REF!</definedName>
    <definedName name="CSI_LABEL_HEADERS" localSheetId="2">#REF!</definedName>
    <definedName name="CSI_LABEL_HEADERS">#REF!</definedName>
    <definedName name="CSI_LINE_HW" localSheetId="2">#REF!</definedName>
    <definedName name="CSI_LINE_HW">#REF!</definedName>
    <definedName name="CSI_LINE_MW" localSheetId="2">#REF!</definedName>
    <definedName name="CSI_LINE_MW">#REF!</definedName>
    <definedName name="CSI_LINE_PS" localSheetId="2">#REF!</definedName>
    <definedName name="CSI_LINE_PS">#REF!</definedName>
    <definedName name="CSI_LINE_SW" localSheetId="2">#REF!</definedName>
    <definedName name="CSI_LINE_SW">#REF!</definedName>
    <definedName name="CSI_SECTION_HW_ALL" localSheetId="2">#REF!</definedName>
    <definedName name="CSI_SECTION_HW_ALL">#REF!</definedName>
    <definedName name="CSI_SECTION_HW_BOT" localSheetId="2">#REF!</definedName>
    <definedName name="CSI_SECTION_HW_BOT">#REF!</definedName>
    <definedName name="CSI_SECTION_HW_TOP" localSheetId="2">#REF!</definedName>
    <definedName name="CSI_SECTION_HW_TOP">#REF!</definedName>
    <definedName name="CSI_SECTION_MW_ALL" localSheetId="2">#REF!</definedName>
    <definedName name="CSI_SECTION_MW_ALL">#REF!</definedName>
    <definedName name="CSI_SECTION_MW_BOT" localSheetId="2">#REF!</definedName>
    <definedName name="CSI_SECTION_MW_BOT">#REF!</definedName>
    <definedName name="CSI_SECTION_MW_TOP" localSheetId="2">#REF!</definedName>
    <definedName name="CSI_SECTION_MW_TOP">#REF!</definedName>
    <definedName name="CSI_SECTION_PS_ALL" localSheetId="2">#REF!</definedName>
    <definedName name="CSI_SECTION_PS_ALL">#REF!</definedName>
    <definedName name="CSI_SECTION_PS_BOT" localSheetId="2">#REF!</definedName>
    <definedName name="CSI_SECTION_PS_BOT">#REF!</definedName>
    <definedName name="CSI_SECTION_PS_TOP" localSheetId="2">#REF!</definedName>
    <definedName name="CSI_SECTION_PS_TOP">#REF!</definedName>
    <definedName name="CSI_SECTION_SW_ALL" localSheetId="2">#REF!</definedName>
    <definedName name="CSI_SECTION_SW_ALL">#REF!</definedName>
    <definedName name="CSI_SECTION_SW_BOT" localSheetId="2">#REF!</definedName>
    <definedName name="CSI_SECTION_SW_BOT">#REF!</definedName>
    <definedName name="CSI_SECTION_SW_TOP" localSheetId="2">#REF!</definedName>
    <definedName name="CSI_SECTION_SW_TOP">#REF!</definedName>
    <definedName name="CSI_SECTION_TITLE" localSheetId="2">#REF!</definedName>
    <definedName name="CSI_SECTION_TITLE">#REF!</definedName>
    <definedName name="CSI_SUBTOTAL_HW" localSheetId="2">#REF!</definedName>
    <definedName name="CSI_SUBTOTAL_HW">#REF!</definedName>
    <definedName name="CSI_SUBTOTAL_MW" localSheetId="2">#REF!</definedName>
    <definedName name="CSI_SUBTOTAL_MW">#REF!</definedName>
    <definedName name="CSI_SUBTOTAL_PS" localSheetId="2">#REF!</definedName>
    <definedName name="CSI_SUBTOTAL_PS">#REF!</definedName>
    <definedName name="CSI_SUBTOTAL_SW" localSheetId="2">#REF!</definedName>
    <definedName name="CSI_SUBTOTAL_SW">#REF!</definedName>
    <definedName name="DOL">#REF!</definedName>
    <definedName name="DSECost">#REF!</definedName>
    <definedName name="DSEPrice">#REF!</definedName>
    <definedName name="DXP_REMOVE_GROSS_COST" localSheetId="2">#REF!</definedName>
    <definedName name="DXP_REMOVE_GROSS_COST">#REF!</definedName>
    <definedName name="DXP_REMOVE_GROSS_NOTE3" localSheetId="2">#REF!</definedName>
    <definedName name="DXP_REMOVE_GROSS_NOTE3">#REF!</definedName>
    <definedName name="EMC_ADDRESS" localSheetId="2">#REF!</definedName>
    <definedName name="EMC_ADDRESS">#REF!</definedName>
    <definedName name="EMC_BM_TABLE_HEADER" localSheetId="2">#REF!</definedName>
    <definedName name="EMC_BM_TABLE_HEADER">#REF!</definedName>
    <definedName name="EMC_BUSINESS_MONITORING" localSheetId="2">#REF!</definedName>
    <definedName name="EMC_BUSINESS_MONITORING">#REF!</definedName>
    <definedName name="EMC_NO_RULES_BROKEN" localSheetId="2">#REF!</definedName>
    <definedName name="EMC_NO_RULES_BROKEN">#REF!</definedName>
    <definedName name="Entitlement">#REF!</definedName>
    <definedName name="EntitlementCostingRate">#REF!</definedName>
    <definedName name="EntitlementPricingRate">#REF!</definedName>
    <definedName name="EntitlementRefString">#REF!</definedName>
    <definedName name="EstContentRate">#REF!</definedName>
    <definedName name="EstSolutionRev">#REF!</definedName>
    <definedName name="EV__LASTREFTIME__" hidden="1">39825.6100810185</definedName>
    <definedName name="Exch_Rate2" localSheetId="2">#REF!</definedName>
    <definedName name="Exch_Rate2">#REF!</definedName>
    <definedName name="FLOOR_ANALYSIS_LINES_TO_FORMAT0" localSheetId="2">#REF!</definedName>
    <definedName name="FLOOR_ANALYSIS_LINES_TO_FORMAT0">#REF!</definedName>
    <definedName name="FLOOR_ANALYSIS_LINES_TO_FORMAT1" localSheetId="2">#REF!</definedName>
    <definedName name="FLOOR_ANALYSIS_LINES_TO_FORMAT1">#REF!</definedName>
    <definedName name="FLOOR_ANALYSIS_SECTION" localSheetId="2">#REF!</definedName>
    <definedName name="FLOOR_ANALYSIS_SECTION">#REF!</definedName>
    <definedName name="foosiemsh" localSheetId="2" hidden="1">#REF!</definedName>
    <definedName name="foosiemsh" hidden="1">#REF!</definedName>
    <definedName name="GSA_HEADER_FIELDS" localSheetId="2">#REF!</definedName>
    <definedName name="GSA_HEADER_FIELDS">#REF!</definedName>
    <definedName name="GVKey">"271182-01w"</definedName>
    <definedName name="INSTALL_AT_ADDRESS" localSheetId="2">#REF!</definedName>
    <definedName name="INSTALL_AT_ADDRESS">#REF!</definedName>
    <definedName name="INSTALL_AT_CONTACT" localSheetId="2">#REF!</definedName>
    <definedName name="INSTALL_AT_CONTACT">#REF!</definedName>
    <definedName name="INSTALL_AT_LABEL" localSheetId="2">#REF!</definedName>
    <definedName name="INSTALL_AT_LABEL">#REF!</definedName>
    <definedName name="INSTALL_AT_NAME" localSheetId="2">#REF!</definedName>
    <definedName name="INSTALL_AT_NAME">#REF!</definedName>
    <definedName name="INSTALL_AT_PHONE" localSheetId="2">#REF!</definedName>
    <definedName name="INSTALL_AT_PHONE">#REF!</definedName>
    <definedName name="IssueTypes">[1]Data!$B$6:$B$8</definedName>
    <definedName name="K2_WBEVMODE" hidden="1">-1</definedName>
    <definedName name="limcount" hidden="1">2</definedName>
    <definedName name="LPRU">#REF!</definedName>
    <definedName name="MISC_FLD_TITLE" localSheetId="2">#REF!</definedName>
    <definedName name="MISC_FLD_TITLE">#REF!</definedName>
    <definedName name="MISC_LINE_HW" localSheetId="2">#REF!</definedName>
    <definedName name="MISC_LINE_HW">#REF!</definedName>
    <definedName name="MISC_LINE_PS" localSheetId="2">#REF!</definedName>
    <definedName name="MISC_LINE_PS">#REF!</definedName>
    <definedName name="MISC_LINE_SW" localSheetId="2">#REF!</definedName>
    <definedName name="MISC_LINE_SW">#REF!</definedName>
    <definedName name="MISC_SECTION_HW_ALL" localSheetId="2">#REF!</definedName>
    <definedName name="MISC_SECTION_HW_ALL">#REF!</definedName>
    <definedName name="MISC_SECTION_HW_BOT" localSheetId="2">#REF!</definedName>
    <definedName name="MISC_SECTION_HW_BOT">#REF!</definedName>
    <definedName name="MISC_SECTION_HW_TOP" localSheetId="2">#REF!</definedName>
    <definedName name="MISC_SECTION_HW_TOP">#REF!</definedName>
    <definedName name="MISC_SECTION_PS_ALL" localSheetId="2">#REF!</definedName>
    <definedName name="MISC_SECTION_PS_ALL">#REF!</definedName>
    <definedName name="MISC_SECTION_PS_BOT" localSheetId="2">#REF!</definedName>
    <definedName name="MISC_SECTION_PS_BOT">#REF!</definedName>
    <definedName name="MISC_SECTION_PS_TOP" localSheetId="2">#REF!</definedName>
    <definedName name="MISC_SECTION_PS_TOP">#REF!</definedName>
    <definedName name="MISC_SECTION_SW_ALL" localSheetId="2">#REF!</definedName>
    <definedName name="MISC_SECTION_SW_ALL">#REF!</definedName>
    <definedName name="MISC_SECTION_SW_BOT" localSheetId="2">#REF!</definedName>
    <definedName name="MISC_SECTION_SW_BOT">#REF!</definedName>
    <definedName name="MISC_SECTION_SW_TOP" localSheetId="2">#REF!</definedName>
    <definedName name="MISC_SECTION_SW_TOP">#REF!</definedName>
    <definedName name="MISC_SECTION_TITLE" localSheetId="2">#REF!</definedName>
    <definedName name="MISC_SECTION_TITLE">#REF!</definedName>
    <definedName name="MISC_SUBTOTAL_HW" localSheetId="2">#REF!</definedName>
    <definedName name="MISC_SUBTOTAL_HW">#REF!</definedName>
    <definedName name="MISC_SUBTOTAL_PS" localSheetId="2">#REF!</definedName>
    <definedName name="MISC_SUBTOTAL_PS">#REF!</definedName>
    <definedName name="MISC_SUBTOTAL_SW" localSheetId="2">#REF!</definedName>
    <definedName name="MISC_SUBTOTAL_SW">#REF!</definedName>
    <definedName name="Model">#REF!</definedName>
    <definedName name="new">'[2]Reference Data'!$GP$11:$HD$11</definedName>
    <definedName name="NewPS1CSP4HRModel">#REF!</definedName>
    <definedName name="NewPS1CSP4HRRate">#REF!</definedName>
    <definedName name="NewPS1CSP4HRRegion">#REF!</definedName>
    <definedName name="NewPS1CSP4HRTerm">#REF!</definedName>
    <definedName name="NewPS1CSPNBDModel">#REF!</definedName>
    <definedName name="NewPS1CSPNBDRate">#REF!</definedName>
    <definedName name="NewPS1CSPNBDRegion">#REF!</definedName>
    <definedName name="NewPS1CSPNBDTerm">#REF!</definedName>
    <definedName name="NOTES_ZONE_0" localSheetId="2">#REF!</definedName>
    <definedName name="NOTES_ZONE_0">#REF!</definedName>
    <definedName name="NOTES_ZONE_1" localSheetId="2">#REF!</definedName>
    <definedName name="NOTES_ZONE_1">#REF!</definedName>
    <definedName name="NOTES_ZONE_2" localSheetId="2">#REF!</definedName>
    <definedName name="NOTES_ZONE_2">#REF!</definedName>
    <definedName name="OPPTY_SECTION" localSheetId="2">#REF!</definedName>
    <definedName name="OPPTY_SECTION">#REF!</definedName>
    <definedName name="OSECost">#REF!</definedName>
    <definedName name="OSEPrice">#REF!</definedName>
    <definedName name="PRECONTRACT_FLD_CFG_NAME" localSheetId="2">#REF!</definedName>
    <definedName name="PRECONTRACT_FLD_CFG_NAME">#REF!</definedName>
    <definedName name="PRECONTRACT_FLD_CSI_DESCIPTION" localSheetId="2">#REF!</definedName>
    <definedName name="PRECONTRACT_FLD_CSI_DESCIPTION">#REF!</definedName>
    <definedName name="PRECONTRACT_FLD_CSI_NAME" localSheetId="2">#REF!</definedName>
    <definedName name="PRECONTRACT_FLD_CSI_NAME">#REF!</definedName>
    <definedName name="PRECONTRACT_LINE" localSheetId="2">#REF!</definedName>
    <definedName name="PRECONTRACT_LINE">#REF!</definedName>
    <definedName name="PRECONTRACT_SECTION" localSheetId="2">#REF!</definedName>
    <definedName name="PRECONTRACT_SECTION">#REF!</definedName>
    <definedName name="PRECONTRACT_SECTION_CFG_TITLE" localSheetId="2">#REF!</definedName>
    <definedName name="PRECONTRACT_SECTION_CFG_TITLE">#REF!</definedName>
    <definedName name="PRECONTRACT_SECTION_CSI" localSheetId="2">#REF!</definedName>
    <definedName name="PRECONTRACT_SECTION_CSI">#REF!</definedName>
    <definedName name="PRICE_JUST_COMMENT" localSheetId="2">#REF!</definedName>
    <definedName name="PRICE_JUST_COMMENT">#REF!</definedName>
    <definedName name="PROMO_SECTION" localSheetId="2">#REF!</definedName>
    <definedName name="PROMO_SECTION">#REF!</definedName>
    <definedName name="PROPOSAL_SECTION" localSheetId="2">#REF!</definedName>
    <definedName name="PROPOSAL_SECTION">#REF!</definedName>
    <definedName name="PROPOSAL_SECTION_MW" localSheetId="2">#REF!</definedName>
    <definedName name="PROPOSAL_SECTION_MW">#REF!</definedName>
    <definedName name="PROPOSAL_SUBTOTAL_HW" localSheetId="2">#REF!</definedName>
    <definedName name="PROPOSAL_SUBTOTAL_HW">#REF!</definedName>
    <definedName name="PROPOSAL_SUBTOTAL_MW_HW" localSheetId="2">#REF!</definedName>
    <definedName name="PROPOSAL_SUBTOTAL_MW_HW">#REF!</definedName>
    <definedName name="PROPOSAL_SUBTOTAL_MW_SW" localSheetId="2">#REF!</definedName>
    <definedName name="PROPOSAL_SUBTOTAL_MW_SW">#REF!</definedName>
    <definedName name="PROPOSAL_SUBTOTAL_MW_WAR" localSheetId="2">#REF!</definedName>
    <definedName name="PROPOSAL_SUBTOTAL_MW_WAR">#REF!</definedName>
    <definedName name="PROPOSAL_SUBTOTAL_PS" localSheetId="2">#REF!</definedName>
    <definedName name="PROPOSAL_SUBTOTAL_PS">#REF!</definedName>
    <definedName name="PROPOSAL_SUBTOTAL_SW" localSheetId="2">#REF!</definedName>
    <definedName name="PROPOSAL_SUBTOTAL_SW">#REF!</definedName>
    <definedName name="ProSupport4HRCostModel">#REF!</definedName>
    <definedName name="ProSupport4HRCostRate">#REF!</definedName>
    <definedName name="ProSupport4HRCostRegion">#REF!</definedName>
    <definedName name="ProSupport4HRCostTerm">#REF!</definedName>
    <definedName name="ProSupport4HRModel">#REF!</definedName>
    <definedName name="ProSupport4HRRate">#REF!</definedName>
    <definedName name="ProSupport4HRRegion">#REF!</definedName>
    <definedName name="ProSupport4HRTerm">#REF!</definedName>
    <definedName name="ProSupportNBDCostModel">#REF!</definedName>
    <definedName name="ProSupportNBDCostRate">#REF!</definedName>
    <definedName name="ProSupportNBDCostRegion">#REF!</definedName>
    <definedName name="ProSupportNBDCostTerm">#REF!</definedName>
    <definedName name="ProSupportNBDModel">#REF!</definedName>
    <definedName name="ProSupportNBDRate">#REF!</definedName>
    <definedName name="ProSupportNBDRegion">#REF!</definedName>
    <definedName name="ProSupportNBDTerm">#REF!</definedName>
    <definedName name="PS1CostModel">#REF!</definedName>
    <definedName name="PS1CostRate">#REF!</definedName>
    <definedName name="PS1CostRegion">#REF!</definedName>
    <definedName name="PS1CostTerm">#REF!</definedName>
    <definedName name="PS1CSP4HRCostModel">#REF!</definedName>
    <definedName name="PS1CSP4HRCostRate">#REF!</definedName>
    <definedName name="PS1CSP4HRCostRegion">#REF!</definedName>
    <definedName name="PS1CSP4HRCostTerm">#REF!</definedName>
    <definedName name="PS1CSP4HRModel">#REF!</definedName>
    <definedName name="PS1CSP4HRRate">#REF!</definedName>
    <definedName name="PS1CSP4HRRegion">#REF!</definedName>
    <definedName name="PS1CSP4HRTerm">#REF!</definedName>
    <definedName name="PS1CSPNBDCostModel">#REF!</definedName>
    <definedName name="PS1CSPNBDCostRate">#REF!</definedName>
    <definedName name="PS1CSPNBDCostRegion">#REF!</definedName>
    <definedName name="PS1CSPNBDCostTerm">#REF!</definedName>
    <definedName name="PS1CSPNBDModel">#REF!</definedName>
    <definedName name="PS1CSPNBDRate">#REF!</definedName>
    <definedName name="PS1CSPNBDRegion">#REF!</definedName>
    <definedName name="PS1CSPNBDTerm">#REF!</definedName>
    <definedName name="PS1LowNBD">#REF!</definedName>
    <definedName name="PS1LowNBDModel">#REF!</definedName>
    <definedName name="PS1LowNBDRate">#REF!</definedName>
    <definedName name="PS1LowNBDRegion">#REF!</definedName>
    <definedName name="PS1LowNBDTerm">#REF!</definedName>
    <definedName name="PSPMCCostModel">#REF!</definedName>
    <definedName name="PSPMCCostRate">#REF!</definedName>
    <definedName name="PSPMCCostRegion">#REF!</definedName>
    <definedName name="PSPMCCostTerm">#REF!</definedName>
    <definedName name="PSPMCModel">#REF!</definedName>
    <definedName name="PSPMCRate">#REF!</definedName>
    <definedName name="PSPMCRegion">#REF!</definedName>
    <definedName name="PSPMCTerm">#REF!</definedName>
    <definedName name="QUOTE_PRICEBREAK" localSheetId="2">#REF!</definedName>
    <definedName name="QUOTE_PRICEBREAK">#REF!</definedName>
    <definedName name="QUOTE_PS_PRICEBREAK" localSheetId="2">#REF!</definedName>
    <definedName name="QUOTE_PS_PRICEBREAK">#REF!</definedName>
    <definedName name="REDIRECT_SECTION" localSheetId="2">#REF!</definedName>
    <definedName name="REDIRECT_SECTION">#REF!</definedName>
    <definedName name="Region">#REF!</definedName>
    <definedName name="REPORT_LINES_TO_FORMAT" localSheetId="2">#REF!,#REF!</definedName>
    <definedName name="REPORT_LINES_TO_FORMAT">#REF!,#REF!</definedName>
    <definedName name="REPORT_LINES_TO_FORMAT0" localSheetId="2">#REF!</definedName>
    <definedName name="REPORT_LINES_TO_FORMAT0">#REF!</definedName>
    <definedName name="REPORT_LINES_TO_FORMAT1" localSheetId="2">#REF!</definedName>
    <definedName name="REPORT_LINES_TO_FORMAT1">#REF!</definedName>
    <definedName name="REPORT_LINES_TO_FORMAT2" localSheetId="2">#REF!</definedName>
    <definedName name="REPORT_LINES_TO_FORMAT2">#REF!</definedName>
    <definedName name="REPORT_TOTALS_TO_FORMAT" localSheetId="2">#REF!,#REF!,#REF!</definedName>
    <definedName name="REPORT_TOTALS_TO_FORMAT">#REF!,#REF!,#REF!</definedName>
    <definedName name="REPORT_TOTALS_TO_FORMAT0" localSheetId="2">#REF!</definedName>
    <definedName name="REPORT_TOTALS_TO_FORMAT0">#REF!</definedName>
    <definedName name="REPORT_TOTALS_TO_FORMAT1" localSheetId="2">#REF!</definedName>
    <definedName name="REPORT_TOTALS_TO_FORMAT1">#REF!</definedName>
    <definedName name="REPORT_TOTALS_TO_FORMAT2" localSheetId="2">#REF!</definedName>
    <definedName name="REPORT_TOTALS_TO_FORMAT2">#REF!</definedName>
    <definedName name="REPORT_TOTALS_TO_FORMAT3" localSheetId="2">#REF!</definedName>
    <definedName name="REPORT_TOTALS_TO_FORMAT3">#REF!</definedName>
    <definedName name="REPORT_TOTALS_TO_FORMAT4" localSheetId="2">#REF!</definedName>
    <definedName name="REPORT_TOTALS_TO_FORMAT4">#REF!</definedName>
    <definedName name="REPORT_TOTALS_TO_FORMAT5" localSheetId="2">#REF!</definedName>
    <definedName name="REPORT_TOTALS_TO_FORMAT5">#REF!</definedName>
    <definedName name="ResidentCost">#REF!</definedName>
    <definedName name="ResidentPrice">#REF!</definedName>
    <definedName name="RQFRate1">[3]Template!$BC$20</definedName>
    <definedName name="s">'[4]Summary &amp; Status'!#REF!</definedName>
    <definedName name="sa">[3]Info!$AZ$20</definedName>
    <definedName name="SAPBEXrevision" hidden="1">2</definedName>
    <definedName name="SAPBEXsysID" hidden="1">"BWP"</definedName>
    <definedName name="SAPBEXwbID" hidden="1">"427RYF5MIK75065EZBL5WAVIT"</definedName>
    <definedName name="sencount" hidden="1">2</definedName>
    <definedName name="SHIP_TO_ADDRESS" localSheetId="2">#REF!</definedName>
    <definedName name="SHIP_TO_ADDRESS">#REF!</definedName>
    <definedName name="SHIP_TO_CONTACT" localSheetId="2">#REF!</definedName>
    <definedName name="SHIP_TO_CONTACT">#REF!</definedName>
    <definedName name="SHIP_TO_LABEL" localSheetId="2">#REF!</definedName>
    <definedName name="SHIP_TO_LABEL">#REF!</definedName>
    <definedName name="SHIP_TO_NAME" localSheetId="2">#REF!</definedName>
    <definedName name="SHIP_TO_NAME">#REF!</definedName>
    <definedName name="SHIP_TO_PHONE" localSheetId="2">#REF!</definedName>
    <definedName name="SHIP_TO_PHONE">#REF!</definedName>
    <definedName name="SHIPPING_ZONE_0" localSheetId="2">#REF!</definedName>
    <definedName name="SHIPPING_ZONE_0">#REF!</definedName>
    <definedName name="SHIPPING_ZONE_1" localSheetId="2">#REF!</definedName>
    <definedName name="SHIPPING_ZONE_1">#REF!</definedName>
    <definedName name="SHIPPING_ZONE_2" localSheetId="2">#REF!</definedName>
    <definedName name="SHIPPING_ZONE_2">#REF!</definedName>
    <definedName name="SiteCodeLU">'[5]Site details V2'!$A$1:$Z$2506</definedName>
    <definedName name="Sites">#REF!</definedName>
    <definedName name="SOLD_TO_ADDRESS" localSheetId="2">#REF!</definedName>
    <definedName name="SOLD_TO_ADDRESS">#REF!</definedName>
    <definedName name="SOLD_TO_CONTACT" localSheetId="2">#REF!</definedName>
    <definedName name="SOLD_TO_CONTACT">#REF!</definedName>
    <definedName name="SOLD_TO_LABEL" localSheetId="2">#REF!</definedName>
    <definedName name="SOLD_TO_LABEL">#REF!</definedName>
    <definedName name="SOLD_TO_NAME" localSheetId="2">#REF!</definedName>
    <definedName name="SOLD_TO_NAME">#REF!</definedName>
    <definedName name="SOLD_TO_PHONE" localSheetId="2">#REF!</definedName>
    <definedName name="SOLD_TO_PHONE">#REF!</definedName>
    <definedName name="SPSet">"current"</definedName>
    <definedName name="SPWS_WBID">"AE891147-BB2F-445D-ACEB-8EEEC2660B6C"</definedName>
    <definedName name="status_indicators">'[4]Summary &amp; Status'!#REF!</definedName>
    <definedName name="status_milestonetable">'[4]Summary &amp; Status'!#REF!</definedName>
    <definedName name="status_next_reporting_period">'[4]Summary &amp; Status'!#REF!</definedName>
    <definedName name="status_this_reporting_period">'[4]Summary &amp; Status'!#REF!</definedName>
    <definedName name="StatusNames">[1]Data!$B$1:$B$3</definedName>
    <definedName name="SumMargin">#REF!</definedName>
    <definedName name="SumRev">#REF!</definedName>
    <definedName name="Term">#REF!</definedName>
    <definedName name="TEST_IPF" localSheetId="2">#REF!</definedName>
    <definedName name="TEST_IPF">#REF!</definedName>
    <definedName name="TRADEIN_SECTION" localSheetId="2">#REF!</definedName>
    <definedName name="TRADEIN_SECTION">#REF!</definedName>
    <definedName name="TRADEIN_SECTION_TOTAL" localSheetId="2">#REF!</definedName>
    <definedName name="TRADEIN_SECTION_TOT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75" l="1"/>
  <c r="B45" i="75"/>
  <c r="B44" i="75"/>
  <c r="B43" i="75"/>
  <c r="H25" i="75"/>
  <c r="I25" i="75" s="1"/>
  <c r="J25" i="75" l="1"/>
  <c r="G25" i="75"/>
  <c r="J2" i="58" l="1"/>
  <c r="C2" i="58"/>
  <c r="B2" i="58"/>
  <c r="F9" i="57"/>
  <c r="E9" i="57"/>
  <c r="D3" i="57"/>
  <c r="F3" i="57" s="1"/>
  <c r="D4" i="57"/>
  <c r="F4" i="57" s="1"/>
  <c r="D5" i="57"/>
  <c r="E5" i="57" s="1"/>
  <c r="D6" i="57"/>
  <c r="E6" i="57" s="1"/>
  <c r="D7" i="57"/>
  <c r="E7" i="57" s="1"/>
  <c r="D8" i="57"/>
  <c r="E8" i="57" s="1"/>
  <c r="D2" i="57"/>
  <c r="E2" i="57" s="1"/>
  <c r="E3" i="57" l="1"/>
  <c r="E4" i="57"/>
  <c r="F2" i="57"/>
  <c r="F8" i="57"/>
  <c r="E2" i="58"/>
  <c r="I2" i="58" s="1"/>
  <c r="F6" i="57"/>
  <c r="F7" i="57"/>
  <c r="F5" i="57"/>
  <c r="G2" i="58" l="1"/>
</calcChain>
</file>

<file path=xl/sharedStrings.xml><?xml version="1.0" encoding="utf-8"?>
<sst xmlns="http://schemas.openxmlformats.org/spreadsheetml/2006/main" count="744" uniqueCount="397">
  <si>
    <t>Item</t>
  </si>
  <si>
    <t>Cost</t>
  </si>
  <si>
    <t>CPU Rebate</t>
  </si>
  <si>
    <t>GPU Rebate</t>
  </si>
  <si>
    <t>Cost - Rebate</t>
  </si>
  <si>
    <t>QTY</t>
  </si>
  <si>
    <t>Total Cost</t>
  </si>
  <si>
    <t>Price</t>
  </si>
  <si>
    <t xml:space="preserve">Margin </t>
  </si>
  <si>
    <t>Total Price</t>
  </si>
  <si>
    <t>Comments</t>
  </si>
  <si>
    <t>XE9785L MI355x w/3y PS1 CSP</t>
  </si>
  <si>
    <t>Previously Approved P&amp;L</t>
  </si>
  <si>
    <t>Quote #</t>
  </si>
  <si>
    <t>Config Description</t>
  </si>
  <si>
    <t>Total Units</t>
  </si>
  <si>
    <t>Total Selling Price</t>
  </si>
  <si>
    <t>Total Config Revenue</t>
  </si>
  <si>
    <t>Current Margin %</t>
  </si>
  <si>
    <t>US-3000193615450/1</t>
  </si>
  <si>
    <t>PowerSwitch Z9864F, 64x800GbE OSFP112, SONiC, (no Fans/PSU)</t>
  </si>
  <si>
    <t>PowerSwitch Z9432F-ON, 32 x 400GbE QSFP56-DD ports, IO to PSU air, 2x AC PSU</t>
  </si>
  <si>
    <t>PowerSwitch S3248T-ON, 48x1G, 4x10G SFP+, 2x100G QSFP28, 1xAC PSU, IO/PSU</t>
  </si>
  <si>
    <t>US-3000193613873/1</t>
  </si>
  <si>
    <t>US-3000193613766/1</t>
  </si>
  <si>
    <t>PowerEdge XE9785L</t>
  </si>
  <si>
    <t>Model/PN</t>
  </si>
  <si>
    <t>Description</t>
  </si>
  <si>
    <t>920-9N62F-00LI-GC0</t>
  </si>
  <si>
    <t>NVIDIA Spectrum-6 based 800GbE Ethernet switch with Cumulus Linux Authentication, 64 OSFP, 1 QSFP112, 48VDC Busbar, 8-Cores CPU, Secure-boot, Liquid-Cooling, Rail-Kit.D39</t>
  </si>
  <si>
    <t>920-9N42F-00RI-KC0</t>
  </si>
  <si>
    <t>NVDA SN5600D,OSFP,DCBB,64P,C2P(I/P),CMLS</t>
  </si>
  <si>
    <t>920-9N110-01R1-NC0 (DPN: J2MV9)</t>
  </si>
  <si>
    <t>SN2201 48x1G + 4x100G, DC Busbar Air Cooled</t>
  </si>
  <si>
    <t>FiberPanel</t>
  </si>
  <si>
    <t>980-9IAJ0-00XM00</t>
  </si>
  <si>
    <t>NVIDIA twin port transceiver, 2xDR4, 1600Gbps, OSFP, 2xMPO(APC), 1310nm SMF, up to 500m, RHS, TRO, Ethernet Only</t>
  </si>
  <si>
    <t>MFP7E30-N050</t>
  </si>
  <si>
    <t>MPO-12/APC to MPO-12/APC cable, 1310nm SMF OS2, 100m max, 50 M</t>
  </si>
  <si>
    <t>MMS1X00-NS400</t>
  </si>
  <si>
    <t>NVIDIA single port transceiver, 400Gbps, NDR, QSFP112, MPO, 1310nm SMF, up to 500m, flat top</t>
  </si>
  <si>
    <t>MMS4X00-NM-T</t>
  </si>
  <si>
    <t>NVIDIA TWIN PORT TRANSCEIVER, 800GBPS,2X400GbE, OSFP, 2XMPO, 1310NM SMF, UP TO 500M, FINNED</t>
  </si>
  <si>
    <t>MFP7E40-N050</t>
  </si>
  <si>
    <t>MPO12 APC to 2xMPO12 APC, 50 m long</t>
  </si>
  <si>
    <t>980-9I042- 00C000</t>
  </si>
  <si>
    <t>Mellanox transceiver, 100GbE, QSFP28, LC-LC, 1310nm, DR1</t>
  </si>
  <si>
    <t>A7204378 </t>
  </si>
  <si>
    <t>Switch Xcvr to LC Patch Panel LC-LC short leg patch cable, Other end is MPO to 4xLC to OOB Spine</t>
  </si>
  <si>
    <t>470-ABGH</t>
  </si>
  <si>
    <t>Switch Xcvr to LC Patch Panel MPO-4xLC short leg patch cable, Other end is LC to OOB Leafs</t>
  </si>
  <si>
    <t>One Patch Panel to rack where SN4700 is installed since 4x100G cable length max size is 5m</t>
  </si>
  <si>
    <t>Total</t>
  </si>
  <si>
    <t>Units</t>
  </si>
  <si>
    <t>Networking</t>
  </si>
  <si>
    <t>Networking E-W</t>
  </si>
  <si>
    <t>L11-DLC</t>
  </si>
  <si>
    <t>SN6600-LD -  DLC, OSFP Pluggable, DC BusBar</t>
  </si>
  <si>
    <t>MMS4B10-XM-RHS</t>
  </si>
  <si>
    <t>Networking N-S</t>
  </si>
  <si>
    <t>SN5610 -  2U 64xOSFP112, C2P (I/P) Airflow</t>
  </si>
  <si>
    <t>L11-AC</t>
  </si>
  <si>
    <t>SN5600D -  2U 64xOSFP112, DC BusBar, C2P (I/P) Airflow</t>
  </si>
  <si>
    <t>MMS1V00-WM</t>
  </si>
  <si>
    <t>OOB Network</t>
  </si>
  <si>
    <t>SN2201 AC C2P - MSN2201-CB2RC </t>
  </si>
  <si>
    <t xml:space="preserve">920-9N110-01R1-0C0 </t>
  </si>
  <si>
    <t>NVDA SN2201 48x1GBaseT, 1U, 2AC PSU, C2P (I/P) Airflow, w/ Cumulus[MSN2201-CB2RC]</t>
  </si>
  <si>
    <t>SN2201 DC Busbar - MSN2201-CSMRC  </t>
  </si>
  <si>
    <t>SN4700 AC C2P - MSN4700-WS2RC</t>
  </si>
  <si>
    <t>920-9N301-00RB-0C0</t>
  </si>
  <si>
    <t>NVDA SN4700 400GbE, 32xQSFPDD, 1U, 2AC PSU, C2P (I/P) Airflow, w/ Cumulus[MSN4700-WS2RC]</t>
  </si>
  <si>
    <t>MMS1V70-CM</t>
  </si>
  <si>
    <t>MMS4X00-NS400</t>
  </si>
  <si>
    <t>Networking Rack Infrastructure</t>
  </si>
  <si>
    <t>DLC Networking Racks - 48U</t>
  </si>
  <si>
    <t>Network rack (DLC)</t>
  </si>
  <si>
    <t>IR9148/750mmx1200mm/48U with 2x PowerShelves and IRC (no in-rack CDU)</t>
  </si>
  <si>
    <t>1U SHUFFLE PANEL</t>
  </si>
  <si>
    <t>4x4 Shuffle Cassette - Commscope 760263036</t>
  </si>
  <si>
    <t>Fibre Shuffle Cassettes - E-W Leaf rack</t>
  </si>
  <si>
    <t>Cassette /SU for Leaf Rack GPU to Leaf [Hosted in Leaf rack] - - MPO-8 4x4 Shuffle Module, 4x8f MPO/APC pinned rear to 4X8f MPO/APC pinned front</t>
  </si>
  <si>
    <t>2x(2x2) Shuffle Cassette - Commscope 760263034</t>
  </si>
  <si>
    <t>MPO-8 2x2 Shuffle Module, 4x8f MPO/APC pinned rear to 4X8f MPO/APC pinned front, Key Up/Key Up adapters</t>
  </si>
  <si>
    <t>L11-DLC check with Maunish</t>
  </si>
  <si>
    <t>MPO12/APC-MMC/APC SMF Jumper - 3m or 5m</t>
  </si>
  <si>
    <t>Air-Cooled Networking Racks - Clusters 48U</t>
  </si>
  <si>
    <t>Network rack (AC)</t>
  </si>
  <si>
    <t>IR5000 - Air Cooled Racks with 2x PDUs</t>
  </si>
  <si>
    <t>L11-AC check with RIT</t>
  </si>
  <si>
    <t xml:space="preserve">4x100G Patch Panel </t>
  </si>
  <si>
    <t>Corning 4x100 Breakout PP</t>
  </si>
  <si>
    <t>IR7000 - Air Cooled Racks with 2x PDUs</t>
  </si>
  <si>
    <t>IR9048 - Air Cooled Racks with 2x PDUs</t>
  </si>
  <si>
    <t>Total Networking PnL</t>
  </si>
  <si>
    <t>Rack Integration - (Compute and Networking Racks)</t>
  </si>
  <si>
    <t>Field Deployment - (Compute and Networking Racks)</t>
  </si>
  <si>
    <t>Not Included in the Quote</t>
  </si>
  <si>
    <t>MPO12/APC-MMC/APC SMF Jumper - 3m</t>
  </si>
  <si>
    <t>MPO12/APC SMF - 50m</t>
  </si>
  <si>
    <t>MPO12/APC-MMC/APC SMF - 50m</t>
  </si>
  <si>
    <t>MPO12/APC-4LC SMF - 10m</t>
  </si>
  <si>
    <t xml:space="preserve">CAT6 Thin </t>
  </si>
  <si>
    <t>CAT6 Thin 3M</t>
  </si>
  <si>
    <t>CAT6 Thin 10M</t>
  </si>
  <si>
    <t>Aircool AC Sidecar (VCM)</t>
  </si>
  <si>
    <t>DLC DC Sidecar (VCM)</t>
  </si>
  <si>
    <t>P2P</t>
  </si>
  <si>
    <t>Solution Id: 19885916.1</t>
  </si>
  <si>
    <t>Solution Name: Together AI DW2000P</t>
  </si>
  <si>
    <t>Solution Category: General</t>
  </si>
  <si>
    <t>Solution List Price: $3,174,981.04</t>
  </si>
  <si>
    <t>Solution Estimated Price: $687,045.84</t>
  </si>
  <si>
    <t>Solution Info:
 Solution Created 1/2/2025  by carlos_wilson@dell.com
 Version Last Modified 1/2/2025  by carlos_wilson@dell.com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</si>
  <si>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</si>
  <si>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</si>
  <si>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</si>
  <si>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</si>
  <si>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</si>
  <si>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</si>
  <si>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</si>
  <si>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</si>
  <si>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</si>
  <si>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</si>
  <si>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</si>
  <si>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</si>
  <si>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</si>
  <si>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</si>
  <si>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19885916.1.1</t>
  </si>
  <si>
    <t xml:space="preserve">PowerEdge R6615 - [PE_R6615_16729] </t>
  </si>
  <si>
    <t>PowerEdge R6615</t>
  </si>
  <si>
    <t>G2CJBV9</t>
  </si>
  <si>
    <t>PowerEdge R6615 Server</t>
  </si>
  <si>
    <t>[210-BFUO]</t>
  </si>
  <si>
    <t>FRONT STORAGE</t>
  </si>
  <si>
    <t>GAOR9VT</t>
  </si>
  <si>
    <t>Chassis with EDSFF drives</t>
  </si>
  <si>
    <t>[379-BFGX]</t>
  </si>
  <si>
    <t>BACKPLANE</t>
  </si>
  <si>
    <t>G3NBWKT</t>
  </si>
  <si>
    <t>E3.s Backplane</t>
  </si>
  <si>
    <t>[379-BEYL]</t>
  </si>
  <si>
    <t>REAR STORAGE</t>
  </si>
  <si>
    <t>GOXF0L2</t>
  </si>
  <si>
    <t>No Rear Storage</t>
  </si>
  <si>
    <t>[379-BDTE]</t>
  </si>
  <si>
    <t>Trusted Platform Module</t>
  </si>
  <si>
    <t>GGX1VDO</t>
  </si>
  <si>
    <t>Trusted Platform Module 2.0 V3</t>
  </si>
  <si>
    <t>[461-AAIG]</t>
  </si>
  <si>
    <t>Chassis Configuration</t>
  </si>
  <si>
    <t>GHTJIO2</t>
  </si>
  <si>
    <t>Chassis with up to 14 E3.S NVMe Drives, Smart Flow</t>
  </si>
  <si>
    <t>[321-BKBT]</t>
  </si>
  <si>
    <t>Processor</t>
  </si>
  <si>
    <t>GR5TMW8</t>
  </si>
  <si>
    <t>AMD EPYC 9454P 2.75GHz, 48C/96T, 256M Cache (290W) DDR5-4800</t>
  </si>
  <si>
    <t>[338-CGXM]</t>
  </si>
  <si>
    <t>Processor Thermal Configuration</t>
  </si>
  <si>
    <t>G0BWHZV</t>
  </si>
  <si>
    <t>High Performance Heatsink, V2</t>
  </si>
  <si>
    <t>[412-BBGB]</t>
  </si>
  <si>
    <t>Memory Configuration Type</t>
  </si>
  <si>
    <t>G6VDIHE</t>
  </si>
  <si>
    <t>Performance Optimized</t>
  </si>
  <si>
    <t>[370-AHLL]</t>
  </si>
  <si>
    <t>Memory DIMM Type and Speed</t>
  </si>
  <si>
    <t>GYMX57Q</t>
  </si>
  <si>
    <t>5600MT/s RDIMMs</t>
  </si>
  <si>
    <t>[370-BBRX]</t>
  </si>
  <si>
    <t>Memory Capacity</t>
  </si>
  <si>
    <t>G106RND</t>
  </si>
  <si>
    <t>32GB RDIMM, 5600MT/s, Dual Rank</t>
  </si>
  <si>
    <t>[370-BBRY]</t>
  </si>
  <si>
    <t>RAID Configuration</t>
  </si>
  <si>
    <t>GF5RC29</t>
  </si>
  <si>
    <t>C30, No RAID for NVME chassis</t>
  </si>
  <si>
    <t>[780-BCDO]</t>
  </si>
  <si>
    <t>RAID/Internal Storage Controllers</t>
  </si>
  <si>
    <t>GLTBAZ3</t>
  </si>
  <si>
    <t>No Controller</t>
  </si>
  <si>
    <t>[405-AACD]</t>
  </si>
  <si>
    <t>Hard Drives</t>
  </si>
  <si>
    <t>GZ4G6T3</t>
  </si>
  <si>
    <t>No Hard Drive</t>
  </si>
  <si>
    <t>[400-ABHL]</t>
  </si>
  <si>
    <t>Hard Drives (PCIe SSD/Flex Bay)</t>
  </si>
  <si>
    <t>GL9OCAQ</t>
  </si>
  <si>
    <t>7.68TB NVMe Read Intensive AG Drive E3s Gen5 with carrier</t>
  </si>
  <si>
    <t>[400-BOMO]</t>
  </si>
  <si>
    <t>BIOS and Advanced System Configuration Settings</t>
  </si>
  <si>
    <t>GJO594B</t>
  </si>
  <si>
    <t>Performance BIOS Setting</t>
  </si>
  <si>
    <t>[384-BBBL]</t>
  </si>
  <si>
    <t>Advanced System Configurations</t>
  </si>
  <si>
    <t>GSFTG4Y</t>
  </si>
  <si>
    <t>UEFI BIOS Boot Mode with GPT Partition</t>
  </si>
  <si>
    <t>[800-BBDM]</t>
  </si>
  <si>
    <t>Fans</t>
  </si>
  <si>
    <t>GT5CEUN</t>
  </si>
  <si>
    <t>4 Very High Performance Fan for 1 CPU</t>
  </si>
  <si>
    <t>[384-BDHS]</t>
  </si>
  <si>
    <t>Power Supply</t>
  </si>
  <si>
    <t>G7XCUQM</t>
  </si>
  <si>
    <t>Dual, Fully Redundant(1+1), Hot-Plug Power Supply,1100W MM(100-240Vac) Titanium</t>
  </si>
  <si>
    <t>[450-AKLF]</t>
  </si>
  <si>
    <t>Power Cords</t>
  </si>
  <si>
    <t>GJDR06K</t>
  </si>
  <si>
    <t>C13 to C14, PDU Style, 12 AMP, 13 Feet (4m) Power Cord, North America</t>
  </si>
  <si>
    <t>[492-BBDG]</t>
  </si>
  <si>
    <t>PCIe Riser</t>
  </si>
  <si>
    <t>G3LUBT7</t>
  </si>
  <si>
    <t>Riser Config 2, 3 x16 LP (2x Gen5)</t>
  </si>
  <si>
    <t>[330-BCBU]</t>
  </si>
  <si>
    <t>Motherboard</t>
  </si>
  <si>
    <t>G9M23QV</t>
  </si>
  <si>
    <t>PowerEdge R6615 Motherboard V2</t>
  </si>
  <si>
    <t>[329-BJSB]</t>
  </si>
  <si>
    <t>OCP 3.0 Network Adapters</t>
  </si>
  <si>
    <t>G0V3GIZ</t>
  </si>
  <si>
    <t>Nvidia ConnectX-6 Lx Dual Port 10/25GbE SFP28, No Crypto, OCP NIC 3.0</t>
  </si>
  <si>
    <t>[540-BDJL]</t>
  </si>
  <si>
    <t>Additional Network Cards</t>
  </si>
  <si>
    <t>GY8XSA9</t>
  </si>
  <si>
    <t>Broadcom 5720 Dual Port 1GbE LOM</t>
  </si>
  <si>
    <t>[540-BDKD]</t>
  </si>
  <si>
    <t>GYR7UXM</t>
  </si>
  <si>
    <t>Nvidia ConnectX-7 Single Port NDR VPI/400GbE OSFP PCIe LP, No Crypto</t>
  </si>
  <si>
    <t>[540-BFHK]</t>
  </si>
  <si>
    <t>Bezel</t>
  </si>
  <si>
    <t>GFGYQ97</t>
  </si>
  <si>
    <t>Standard Bezel for E3 Chassis, R6615</t>
  </si>
  <si>
    <t>[325-BETO]</t>
  </si>
  <si>
    <t>Boot Optimized Storage Cards</t>
  </si>
  <si>
    <t>GTA30RL</t>
  </si>
  <si>
    <t>BOSS-N1 controller card +  with 2 M.2 960GB (RAID 1)</t>
  </si>
  <si>
    <t>[403-BCRZ], [470-AFNB]</t>
  </si>
  <si>
    <t>Operating System</t>
  </si>
  <si>
    <t>G78MU35</t>
  </si>
  <si>
    <t>No Operating System</t>
  </si>
  <si>
    <t>[611-BBBF]</t>
  </si>
  <si>
    <t>OS Media Kits</t>
  </si>
  <si>
    <t>GKH7AZI</t>
  </si>
  <si>
    <t>No Media Required</t>
  </si>
  <si>
    <t>[605-BBFN]</t>
  </si>
  <si>
    <t>Embedded Systems Management</t>
  </si>
  <si>
    <t>G65AWE1</t>
  </si>
  <si>
    <t>Dell Connectivity Client - Disabled</t>
  </si>
  <si>
    <t>[379-BFXT], [634-CYDF]</t>
  </si>
  <si>
    <t>G9X14RE</t>
  </si>
  <si>
    <t>Server Secured Component Verification</t>
  </si>
  <si>
    <t>[528-COYT]</t>
  </si>
  <si>
    <t>G49EVUG</t>
  </si>
  <si>
    <t>iDRAC9 Datacenter 16G with OpenManage Enterprise Advanced Plus</t>
  </si>
  <si>
    <t>[528-CTID], [528-CTZH]</t>
  </si>
  <si>
    <t>Quick Sync</t>
  </si>
  <si>
    <t>GI1FEZA</t>
  </si>
  <si>
    <t>No Quick Sync</t>
  </si>
  <si>
    <t>[350-BBXM]</t>
  </si>
  <si>
    <t>Password</t>
  </si>
  <si>
    <t>GDOHU23</t>
  </si>
  <si>
    <t>iDRAC,Legacy Password</t>
  </si>
  <si>
    <t>[379-BCSG]</t>
  </si>
  <si>
    <t>IDRAC Service Module</t>
  </si>
  <si>
    <t>GX95LG2</t>
  </si>
  <si>
    <t>iDRAC Service Module (ISM), NOT Installed</t>
  </si>
  <si>
    <t>[379-BCQX]</t>
  </si>
  <si>
    <t>Rack Rails</t>
  </si>
  <si>
    <t>GSNQZP0</t>
  </si>
  <si>
    <t>ReadyRails Sliding Rails With Cable Management Arm</t>
  </si>
  <si>
    <t>[770-BDMT], [770-BECD]</t>
  </si>
  <si>
    <t>System Documentation</t>
  </si>
  <si>
    <t>GVRYSM7</t>
  </si>
  <si>
    <t>No Systems Documentation, No OpenManage DVD Kit</t>
  </si>
  <si>
    <t>[631-AACK]</t>
  </si>
  <si>
    <t>SHIPPING</t>
  </si>
  <si>
    <t>GQGNYT2</t>
  </si>
  <si>
    <t>PowerEdge R6615 Shipping</t>
  </si>
  <si>
    <t>[340-DCYK]</t>
  </si>
  <si>
    <t>Shipping Material</t>
  </si>
  <si>
    <t>GSHE5N8</t>
  </si>
  <si>
    <t>Shipping Material for backplane chassis</t>
  </si>
  <si>
    <t>[340-DCYE]</t>
  </si>
  <si>
    <t>Regulatory</t>
  </si>
  <si>
    <t>G1QDX7H</t>
  </si>
  <si>
    <t>PowerEdge R6615 CCC Marking, No CE or BIS Marking</t>
  </si>
  <si>
    <t>[470-AFOU]</t>
  </si>
  <si>
    <t>Group Manager</t>
  </si>
  <si>
    <t>GTVA94K</t>
  </si>
  <si>
    <t>iDRAC Group Manager, Disabled</t>
  </si>
  <si>
    <t>[379-BCQY]</t>
  </si>
  <si>
    <t>ECCN</t>
  </si>
  <si>
    <t>GRO1P6G</t>
  </si>
  <si>
    <t>Decline Selection</t>
  </si>
  <si>
    <t>[817-BBBP]</t>
  </si>
  <si>
    <t>Service</t>
  </si>
  <si>
    <t>GC42XVM</t>
  </si>
  <si>
    <t>3 Years Prosupport Next Business Day Onsite Service</t>
  </si>
  <si>
    <t>[886-9761], [886-9769], [886-9770], [989-3439]</t>
  </si>
  <si>
    <t>Deployment Services</t>
  </si>
  <si>
    <t>NOINSTL</t>
  </si>
  <si>
    <t>No Installation</t>
  </si>
  <si>
    <t>[900-9997]</t>
  </si>
  <si>
    <t xml:space="preserve">WekaIO Weka XPS Tier 1 Up to 2500TB 3 Year </t>
  </si>
  <si>
    <t>[AD159645]</t>
  </si>
  <si>
    <t xml:space="preserve">WekaIO Initial Weka Installation and Configuration Remote </t>
  </si>
  <si>
    <t>[AD129928]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</si>
  <si>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</si>
  <si>
    <t>Solution Id: 19885926.1</t>
  </si>
  <si>
    <t>Solution Name: Together AI Compute/Management Nodes</t>
  </si>
  <si>
    <t>Solution List Price: $543,809.92</t>
  </si>
  <si>
    <t>Solution Estimated Price: $125,076.26</t>
  </si>
  <si>
    <t>19885926.1.1</t>
  </si>
  <si>
    <t xml:space="preserve">PowerEdge R660 - UFM Node Compute </t>
  </si>
  <si>
    <t>Base</t>
  </si>
  <si>
    <t>GX4I5WF</t>
  </si>
  <si>
    <t>PowerEdge R660 Server</t>
  </si>
  <si>
    <t>[210-BEQQ]</t>
  </si>
  <si>
    <t>GI7JYC4</t>
  </si>
  <si>
    <t>2.5" Chassis with up to 10 Hard Drives (SAS/SATA), 2CPU, PERC11</t>
  </si>
  <si>
    <t>[321-BHRW]</t>
  </si>
  <si>
    <t>G9KQ7I0</t>
  </si>
  <si>
    <t>Intel® Xeon® Gold 6548Y+ 2.5G, 32C/64T, 20GT/s, 60M Cache, Turbo, HT (250W) DDR5-5200</t>
  </si>
  <si>
    <t>[338-CPCB]</t>
  </si>
  <si>
    <t>Additional Processor</t>
  </si>
  <si>
    <t>GV5LOWM</t>
  </si>
  <si>
    <t>[338-CPCB], [379-BDCO]</t>
  </si>
  <si>
    <t>Additional Processor Features</t>
  </si>
  <si>
    <t>G68EUO7</t>
  </si>
  <si>
    <t>No HBM</t>
  </si>
  <si>
    <t>[379-BFFD]</t>
  </si>
  <si>
    <t>GLPS2T3</t>
  </si>
  <si>
    <t>Performance Heatsink for 2 CPU configuration (CPU more than or equal to 250W)</t>
  </si>
  <si>
    <t>[412-ABCG]</t>
  </si>
  <si>
    <t>GH9QBEI</t>
  </si>
  <si>
    <t>[370-AAIP]</t>
  </si>
  <si>
    <t>G0FS8TA</t>
  </si>
  <si>
    <t>16GB RDIMM, 5600MT/s, Single Rank</t>
  </si>
  <si>
    <t>[370-BBRQ]</t>
  </si>
  <si>
    <t>GJ45ICY</t>
  </si>
  <si>
    <t>C7, Unconfigured RAID for HDDs or SSDs (Mixed Drive Types Allowed)</t>
  </si>
  <si>
    <t>[780-BCDS]</t>
  </si>
  <si>
    <t>GZH8DFJ</t>
  </si>
  <si>
    <t>PERC H755 with rear load Brackets</t>
  </si>
  <si>
    <t>[405-AAZB], [750-ADRI]</t>
  </si>
  <si>
    <t>GS7WBQI</t>
  </si>
  <si>
    <t>3.84TB SSD SATA Read Intensive 6Gbps 512 2.5in Hot-plug AG Drive, 1 DWPD</t>
  </si>
  <si>
    <t>[400-AXSK]</t>
  </si>
  <si>
    <t>G06TYXW</t>
  </si>
  <si>
    <t>Power Saving Dell Active Power Controller</t>
  </si>
  <si>
    <t>[750-AABF]</t>
  </si>
  <si>
    <t>G9IONL3</t>
  </si>
  <si>
    <t>No Energy Star</t>
  </si>
  <si>
    <t>[387-BBEY]</t>
  </si>
  <si>
    <t>GFW1SJH</t>
  </si>
  <si>
    <t>4 Very High Performance Fans</t>
  </si>
  <si>
    <t>[384-BCUJ]</t>
  </si>
  <si>
    <t>GO3YG8H</t>
  </si>
  <si>
    <t>Riser Config 3, Full Height, 2x16 FH Slots (Gen5)</t>
  </si>
  <si>
    <t>[330-BBYZ]</t>
  </si>
  <si>
    <t>G8E9DV5</t>
  </si>
  <si>
    <t>Motherboard MLK supports ALL CPUs and is required for CPUs 250W and above</t>
  </si>
  <si>
    <t>[329-BKBP]</t>
  </si>
  <si>
    <t>GKD7V2B</t>
  </si>
  <si>
    <t>Nvidia ConnectX-6 Dual Port 100 GbE QSFP56 Adapter, OCP 3.0 with Cable</t>
  </si>
  <si>
    <t>[540-BDYY], [540-BFDZ]</t>
  </si>
  <si>
    <t>GVNQ7EH</t>
  </si>
  <si>
    <t>LOM Blank</t>
  </si>
  <si>
    <t>[540-BDMK]</t>
  </si>
  <si>
    <t>G7VO5XU</t>
  </si>
  <si>
    <t>Nvidia ConnectX-7 Single Port NDR200 VPI/200GbE OSFP PCIe FH, No Crypto</t>
  </si>
  <si>
    <t>[540-BFHH]</t>
  </si>
  <si>
    <t>G2KZ7CS</t>
  </si>
  <si>
    <t>Standard Bezel</t>
  </si>
  <si>
    <t>[325-BEVE], [350-BCKC]</t>
  </si>
  <si>
    <t>G61XLSC</t>
  </si>
  <si>
    <t>BOSS-N1 controller card +  with 2 M.2 480GB (RAID 1)</t>
  </si>
  <si>
    <t>[403-BCRU], [470-AFMG]</t>
  </si>
  <si>
    <t>G5HZBFJ</t>
  </si>
  <si>
    <t>iDRAC Factory Generated Password for OCP cards</t>
  </si>
  <si>
    <t>[379-BETG]</t>
  </si>
  <si>
    <t>GSE1MX3</t>
  </si>
  <si>
    <t>PowerEdge R660 Shipping</t>
  </si>
  <si>
    <t>[340-DBXZ]</t>
  </si>
  <si>
    <t>GIE8RYJ</t>
  </si>
  <si>
    <t>PowerEdge R660 Shipping Material, 10x2.5", 8x2.5" Smart Flow or 16xEDSFF</t>
  </si>
  <si>
    <t>[340-DBYC]</t>
  </si>
  <si>
    <t>GAE4XYW</t>
  </si>
  <si>
    <t>PowerEdge R660 CE, CCC and BIS Marking on 2.5" Chassis</t>
  </si>
  <si>
    <t>[343-BBTS], [343-BBUB]</t>
  </si>
  <si>
    <t>Standard Hardware Support Service</t>
  </si>
  <si>
    <t>G80I3TA</t>
  </si>
  <si>
    <t>[887-1067], [887-1075], [887-1076], [989-3439]</t>
  </si>
  <si>
    <t xml:space="preserve">PowerEdge R660 - Management Node Compute </t>
  </si>
  <si>
    <t>G1NLUM4</t>
  </si>
  <si>
    <t>Intel X710-T4L Quad Port 10GbE BASE-T Adapter, PCIe Full Height</t>
  </si>
  <si>
    <t>[540-BCRP]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</si>
</sst>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0.00"/>
    <numFmt numFmtId="165" formatCode="&quot;$&quot;#,##0.00"/>
    <numFmt numFmtId="166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5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Border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1" fillId="0" borderId="1" xfId="1" applyBorder="1" applyAlignment="1">
      <alignment wrapText="1"/>
    </xf>
    <xf numFmtId="0" fontId="2" fillId="0" borderId="0" xfId="1" applyFont="1"/>
    <xf numFmtId="164" fontId="1" fillId="0" borderId="0" xfId="1" applyNumberFormat="1"/>
    <xf numFmtId="0" fontId="3" fillId="3" borderId="2" xfId="0" applyFont="1" applyFill="1" applyBorder="1"/>
    <xf numFmtId="0" fontId="3" fillId="3" borderId="3" xfId="0" applyFont="1" applyFill="1" applyBorder="1"/>
    <xf numFmtId="0" fontId="6" fillId="0" borderId="0" xfId="0" applyFont="1"/>
    <xf numFmtId="4" fontId="6" fillId="0" borderId="0" xfId="0" applyNumberFormat="1" applyFont="1"/>
    <xf numFmtId="10" fontId="6" fillId="0" borderId="0" xfId="0" applyNumberFormat="1" applyFont="1"/>
    <xf numFmtId="0" fontId="4" fillId="4" borderId="1" xfId="0" applyFont="1" applyFill="1" applyBorder="1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0" fontId="0" fillId="2" borderId="0" xfId="0" applyFill="1"/>
    <xf numFmtId="0" fontId="0" fillId="0" borderId="2" xfId="0" applyBorder="1"/>
    <xf numFmtId="0" fontId="0" fillId="0" borderId="0" xfId="0" applyAlignment="1">
      <alignment vertical="center"/>
    </xf>
    <xf numFmtId="0" fontId="10" fillId="7" borderId="6" xfId="0" applyFont="1" applyFill="1" applyBorder="1" applyAlignment="1">
      <alignment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right"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9" xfId="0" applyFont="1" applyFill="1" applyBorder="1" applyAlignment="1">
      <alignment horizontal="right"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166" fontId="9" fillId="0" borderId="9" xfId="2" applyNumberFormat="1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43" fontId="9" fillId="0" borderId="9" xfId="2" applyFont="1" applyBorder="1" applyAlignment="1">
      <alignment vertical="center" wrapText="1"/>
    </xf>
    <xf numFmtId="0" fontId="9" fillId="5" borderId="9" xfId="0" applyFont="1" applyFill="1" applyBorder="1" applyAlignment="1">
      <alignment horizontal="right" vertical="center"/>
    </xf>
    <xf numFmtId="10" fontId="0" fillId="0" borderId="0" xfId="3" applyNumberFormat="1" applyFont="1"/>
    <xf numFmtId="8" fontId="0" fillId="0" borderId="0" xfId="0" applyNumberFormat="1"/>
    <xf numFmtId="43" fontId="9" fillId="0" borderId="9" xfId="0" applyNumberFormat="1" applyFont="1" applyBorder="1" applyAlignment="1">
      <alignment horizontal="right" vertical="center"/>
    </xf>
    <xf numFmtId="0" fontId="8" fillId="8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right" vertical="center"/>
    </xf>
    <xf numFmtId="44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6" borderId="4" xfId="0" applyFont="1" applyFill="1" applyBorder="1"/>
    <xf numFmtId="0" fontId="4" fillId="6" borderId="5" xfId="0" applyFont="1" applyFill="1" applyBorder="1"/>
    <xf numFmtId="0" fontId="4" fillId="6" borderId="3" xfId="0" applyFont="1" applyFill="1" applyBorder="1"/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4" fillId="0" borderId="2" xfId="0" applyFont="1" applyBorder="1"/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5" fillId="0" borderId="2" xfId="0" applyFont="1" applyBorder="1"/>
    <xf numFmtId="166" fontId="5" fillId="0" borderId="2" xfId="2" applyNumberFormat="1" applyFont="1" applyBorder="1"/>
    <xf numFmtId="0" fontId="5" fillId="2" borderId="2" xfId="0" applyFont="1" applyFill="1" applyBorder="1"/>
    <xf numFmtId="0" fontId="11" fillId="0" borderId="0" xfId="0" applyFont="1"/>
  </cellXfs>
  <cellStyles count="4">
    <cellStyle name="Comma" xfId="2" builtinId="3"/>
    <cellStyle name="Normal" xfId="0" builtinId="0"/>
    <cellStyle name="Normal 2" xfId="1" xr:uid="{7EB298B3-B501-4096-B7D1-BD9F5733902D}"/>
    <cellStyle name="Percent" xfId="3" builtinId="5"/>
  </cellStyles>
  <dxfs count="0"/>
  <tableStyles count="0" defaultTableStyle="TableStyleMedium2" defaultPivotStyle="PivotStyleLight16"/>
  <colors>
    <mruColors>
      <color rgb="FFE2E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19050</xdr:rowOff>
    </xdr:from>
    <xdr:to>
      <xdr:col>15</xdr:col>
      <xdr:colOff>514350</xdr:colOff>
      <xdr:row>26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0550"/>
          <a:ext cx="13115925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ankofamerica.com/Personal/Lotus123/Alternate%20Officing%20-%20Charlotte/Discovery%20File/Discovery%20Fil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l-my.sharepoint.com/personal/paul_klinger_dell_com/Documents/SDSS/Customer/Coreweave/Coreweave_Gaines%201.5%20GB200_PS1%20CSP%20Pricing%20Model_v1.6_11262024.xlsx" TargetMode="External"/><Relationship Id="rId1" Type="http://schemas.openxmlformats.org/officeDocument/2006/relationships/externalLinkPath" Target="https://dell.sharepoint.com/personal/paul_klinger_dell_com/Documents/SDSS/Customer/Coreweave/Coreweave_Gaines%201.5%20GB200_PS1%20CSP%20Pricing%20Model_v1.6_1126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rdinetechh-my.sharepoint.com/Users/yuank1/Desktop/Common%20Use/SEA/SEA%20Quote%20Processor%20v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.sharepoint.com/sites/XCorporationRackIntegrationProject/Shared%20Documents/General/2%20-%20Project%20Management/02%20-%20Governance%20Plan/X%20Corp%20GenAI%20Program%20Workbook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.sharepoint.com/personal/jennifer_wilder_dell_com/Documents/Cummins/EUC1%202023%20Schedule/Cummins%20EUC1%20Schedule%20-%2010-24-22%20-%20JW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vamshidhar_doma_dell_com/Documents/AI-ML/Customer%20Opportunities/NScale/NScale%20WVA%20VR%20144k%204x36k%202026.8.20%20%20V3%20PnL.xlsx" TargetMode="External"/><Relationship Id="rId2" Type="http://schemas.openxmlformats.org/officeDocument/2006/relationships/externalLinkPath" Target="https://dell-my.sharepoint.com/personal/vamshidhar_doma_dell_com/Documents/AI-ML/Customer%20Opportunities/NScale/NScale%20WVA%20VR%20144k%204x36k%202026.8.20%20%20V3%20PnL.xlsx" TargetMode="External"/><Relationship Id="rId1" Type="http://schemas.openxmlformats.org/officeDocument/2006/relationships/externalLinkPath" Target="/personal/vamshidhar_doma_dell_com/Documents/AI-ML/Customer%20Opportunities/NScale/NScale%20WVA%20VR%20144k%204x36k%202026.8.20%20%20V3%20P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da"/>
      <sheetName val="TARs"/>
      <sheetName val="Issues"/>
      <sheetName val="Key Decisions"/>
      <sheetName val="Risks"/>
      <sheetName val="Change Controls"/>
      <sheetName val="Contacts"/>
      <sheetName val="Data"/>
      <sheetName val="Base Summary"/>
      <sheetName val="Phases"/>
      <sheetName val="Milestones"/>
      <sheetName val="KeyTas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 Model"/>
      <sheetName val="Sample Template"/>
      <sheetName val="Reference Data"/>
      <sheetName val="Cost"/>
      <sheetName val="LOIS Summary"/>
      <sheetName val="GB200 Parts"/>
      <sheetName val="XE9785L OLD"/>
      <sheetName val="XE9680L BOM"/>
      <sheetName val="XE9785L BOM"/>
      <sheetName val="XE9680L_SKU_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or"/>
      <sheetName val="Info"/>
      <sheetName val="Template"/>
      <sheetName val="IQR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 &amp; Status"/>
      <sheetName val="Key Info"/>
      <sheetName val="Quotes and Orders"/>
      <sheetName val="Reports"/>
      <sheetName val="% Complete"/>
      <sheetName val="Status Trend"/>
      <sheetName val="Stakeholders"/>
      <sheetName val="Communication Plan"/>
      <sheetName val="Comms Plan (Meeting Cadence)"/>
      <sheetName val="Risks &amp; Issues"/>
      <sheetName val="RAID Dashboard"/>
      <sheetName val="Action Items"/>
      <sheetName val=" Decisions"/>
      <sheetName val="Interview Schedule"/>
      <sheetName val="Updated Dashboard"/>
      <sheetName val="Progress Dashboard"/>
      <sheetName val="ARB"/>
      <sheetName val="Open Action Log (AMD &amp; Nvidia)"/>
      <sheetName val="Actions &amp; Open Items"/>
      <sheetName val="Closed Action Log"/>
      <sheetName val="EBC Action Items and Notes"/>
      <sheetName val="Assumptions"/>
      <sheetName val="Dependencies"/>
      <sheetName val="Exit Criteria"/>
      <sheetName val="Changes"/>
      <sheetName val="Inventory List"/>
      <sheetName val="Email Text"/>
      <sheetName val="Data"/>
      <sheetName val="Tools"/>
      <sheetName val="Lessons Learned"/>
      <sheetName val="WBS"/>
      <sheetName val="US T-Minus"/>
      <sheetName val="Escalation P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UC1 Schedule"/>
      <sheetName val="Change Log"/>
      <sheetName val="EUC1 Home"/>
      <sheetName val="Order Schedule - JW"/>
      <sheetName val="Lead Times"/>
      <sheetName val="LookUp"/>
      <sheetName val="Site details V2"/>
      <sheetName val="Lead Time Detail"/>
      <sheetName val="EUC1_Schedule"/>
      <sheetName val="Change_Log"/>
      <sheetName val="EUC1_Home"/>
      <sheetName val="Order_Schedule_-_JW"/>
      <sheetName val="Lead_Times"/>
      <sheetName val="Site_details_V2"/>
      <sheetName val="Lead_Time_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nL SN6600-LD"/>
      <sheetName val="PnL SN6810"/>
      <sheetName val="Rack BOM"/>
    </sheetNames>
    <sheetDataSet>
      <sheetData sheetId="0"/>
      <sheetData sheetId="1"/>
      <sheetData sheetId="2">
        <row r="42">
          <cell r="G42">
            <v>81513.166666666672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2E10-625C-4894-BD65-526C14B90219}">
  <dimension ref="A1:K23"/>
  <sheetViews>
    <sheetView workbookViewId="0">
      <selection activeCell="D30" sqref="D30"/>
    </sheetView>
  </sheetViews>
  <sheetFormatPr defaultRowHeight="14.4" x14ac:dyDescent="0.3"/>
  <cols>
    <col min="1" max="1" width="28" bestFit="1" customWidth="1"/>
    <col min="2" max="2" width="12" bestFit="1" customWidth="1"/>
    <col min="3" max="4" width="11.44140625" bestFit="1" customWidth="1"/>
    <col min="5" max="5" width="12.77734375" bestFit="1" customWidth="1"/>
    <col min="6" max="6" width="11.21875" customWidth="1"/>
    <col min="7" max="7" width="16" bestFit="1" customWidth="1"/>
    <col min="8" max="8" width="12" bestFit="1" customWidth="1"/>
    <col min="9" max="9" width="10.5546875" customWidth="1"/>
    <col min="10" max="10" width="16" bestFit="1" customWidth="1"/>
    <col min="11" max="11" width="11" bestFit="1" customWidth="1"/>
  </cols>
  <sheetData>
    <row r="1" spans="1:1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11" t="s">
        <v>11</v>
      </c>
      <c r="B2" s="12">
        <f>'GOAL Export'!G9</f>
        <v>285251.93</v>
      </c>
      <c r="C2" s="12">
        <f>2430*2</f>
        <v>4860</v>
      </c>
      <c r="D2" s="12">
        <v>8600</v>
      </c>
      <c r="E2" s="12">
        <f>B2-C2-D2</f>
        <v>271791.93</v>
      </c>
      <c r="F2" s="11">
        <v>1664</v>
      </c>
      <c r="G2" s="12">
        <f>F2*E2</f>
        <v>452261771.51999998</v>
      </c>
      <c r="H2" s="12">
        <v>267000</v>
      </c>
      <c r="I2" s="13">
        <f>(H2-E2)/H2</f>
        <v>-1.794730337078649E-2</v>
      </c>
      <c r="J2" s="12">
        <f>H2*F2</f>
        <v>444288000</v>
      </c>
      <c r="K2" s="11"/>
    </row>
    <row r="23" spans="1:1" x14ac:dyDescent="0.3">
      <c r="A23" s="14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30AB-99A8-4C32-ACFD-9E5DD3C33ABF}">
  <dimension ref="A1:G9"/>
  <sheetViews>
    <sheetView workbookViewId="0">
      <selection activeCell="B24" sqref="B24"/>
    </sheetView>
  </sheetViews>
  <sheetFormatPr defaultRowHeight="14.4" x14ac:dyDescent="0.3"/>
  <cols>
    <col min="1" max="1" width="19.5546875" bestFit="1" customWidth="1"/>
    <col min="2" max="2" width="75.109375" bestFit="1" customWidth="1"/>
    <col min="4" max="4" width="21.44140625" bestFit="1" customWidth="1"/>
    <col min="5" max="5" width="25.109375" bestFit="1" customWidth="1"/>
    <col min="7" max="7" width="10.44140625" bestFit="1" customWidth="1"/>
  </cols>
  <sheetData>
    <row r="1" spans="1:7" ht="15.6" x14ac:dyDescent="0.3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</v>
      </c>
    </row>
    <row r="2" spans="1:7" x14ac:dyDescent="0.3">
      <c r="A2" s="7" t="s">
        <v>19</v>
      </c>
      <c r="B2" s="7" t="s">
        <v>20</v>
      </c>
      <c r="C2" s="7">
        <v>634</v>
      </c>
      <c r="D2" s="8">
        <f>G2/0.8</f>
        <v>32099.309999999998</v>
      </c>
      <c r="E2" s="8">
        <f>D2*C2</f>
        <v>20350962.539999999</v>
      </c>
      <c r="F2" s="9">
        <f>(D2-G2)/D2</f>
        <v>0.19999999999999993</v>
      </c>
      <c r="G2" s="8">
        <v>25679.448</v>
      </c>
    </row>
    <row r="3" spans="1:7" x14ac:dyDescent="0.3">
      <c r="A3" s="7" t="s">
        <v>19</v>
      </c>
      <c r="B3" s="7" t="s">
        <v>21</v>
      </c>
      <c r="C3" s="7">
        <v>2</v>
      </c>
      <c r="D3" s="8">
        <f t="shared" ref="D3:D8" si="0">G3/0.8</f>
        <v>16908.856249999997</v>
      </c>
      <c r="E3" s="8">
        <f t="shared" ref="E3:E9" si="1">D3*C3</f>
        <v>33817.712499999994</v>
      </c>
      <c r="F3" s="9">
        <f t="shared" ref="F3:F9" si="2">(D3-G3)/D3</f>
        <v>0.1999999999999999</v>
      </c>
      <c r="G3" s="8">
        <v>13527.084999999999</v>
      </c>
    </row>
    <row r="4" spans="1:7" x14ac:dyDescent="0.3">
      <c r="A4" s="7" t="s">
        <v>19</v>
      </c>
      <c r="B4" s="7" t="s">
        <v>22</v>
      </c>
      <c r="C4" s="7">
        <v>79</v>
      </c>
      <c r="D4" s="8">
        <f t="shared" si="0"/>
        <v>2967.4468749999996</v>
      </c>
      <c r="E4" s="8">
        <f t="shared" si="1"/>
        <v>234428.30312499998</v>
      </c>
      <c r="F4" s="9">
        <f t="shared" si="2"/>
        <v>0.1999999999999999</v>
      </c>
      <c r="G4" s="8">
        <v>2373.9575</v>
      </c>
    </row>
    <row r="5" spans="1:7" x14ac:dyDescent="0.3">
      <c r="A5" s="7" t="s">
        <v>19</v>
      </c>
      <c r="B5" s="7" t="s">
        <v>20</v>
      </c>
      <c r="C5" s="7">
        <v>208</v>
      </c>
      <c r="D5" s="8">
        <f t="shared" si="0"/>
        <v>35899.859999999993</v>
      </c>
      <c r="E5" s="8">
        <f t="shared" si="1"/>
        <v>7467170.879999999</v>
      </c>
      <c r="F5" s="9">
        <f t="shared" si="2"/>
        <v>0.19999999999999987</v>
      </c>
      <c r="G5" s="8">
        <v>28719.887999999999</v>
      </c>
    </row>
    <row r="6" spans="1:7" x14ac:dyDescent="0.3">
      <c r="A6" s="7" t="s">
        <v>23</v>
      </c>
      <c r="B6" s="7" t="s">
        <v>20</v>
      </c>
      <c r="C6" s="7">
        <v>840</v>
      </c>
      <c r="D6" s="8">
        <f t="shared" si="0"/>
        <v>35644.097499999996</v>
      </c>
      <c r="E6" s="8">
        <f t="shared" si="1"/>
        <v>29941041.899999999</v>
      </c>
      <c r="F6" s="9">
        <f t="shared" si="2"/>
        <v>0.19999999999999996</v>
      </c>
      <c r="G6" s="8">
        <v>28515.277999999998</v>
      </c>
    </row>
    <row r="7" spans="1:7" x14ac:dyDescent="0.3">
      <c r="A7" s="7" t="s">
        <v>23</v>
      </c>
      <c r="B7" s="7" t="s">
        <v>21</v>
      </c>
      <c r="C7" s="7">
        <v>2</v>
      </c>
      <c r="D7" s="8">
        <f t="shared" si="0"/>
        <v>17248.393749999999</v>
      </c>
      <c r="E7" s="8">
        <f t="shared" si="1"/>
        <v>34496.787499999999</v>
      </c>
      <c r="F7" s="9">
        <f t="shared" si="2"/>
        <v>0.19999999999999996</v>
      </c>
      <c r="G7" s="8">
        <v>13798.715</v>
      </c>
    </row>
    <row r="8" spans="1:7" x14ac:dyDescent="0.3">
      <c r="A8" s="7" t="s">
        <v>23</v>
      </c>
      <c r="B8" s="7" t="s">
        <v>22</v>
      </c>
      <c r="C8" s="7">
        <v>79</v>
      </c>
      <c r="D8" s="8">
        <f t="shared" si="0"/>
        <v>3727.3968749999999</v>
      </c>
      <c r="E8" s="8">
        <f t="shared" si="1"/>
        <v>294464.35312499997</v>
      </c>
      <c r="F8" s="9">
        <f t="shared" si="2"/>
        <v>0.19999999999999998</v>
      </c>
      <c r="G8" s="8">
        <v>2981.9175</v>
      </c>
    </row>
    <row r="9" spans="1:7" x14ac:dyDescent="0.3">
      <c r="A9" s="7" t="s">
        <v>24</v>
      </c>
      <c r="B9" s="7" t="s">
        <v>25</v>
      </c>
      <c r="C9" s="7">
        <v>1664</v>
      </c>
      <c r="D9" s="8">
        <v>267000</v>
      </c>
      <c r="E9" s="8">
        <f t="shared" si="1"/>
        <v>444288000</v>
      </c>
      <c r="F9" s="9">
        <f t="shared" si="2"/>
        <v>-6.8359288389513079E-2</v>
      </c>
      <c r="G9" s="8">
        <v>285251.93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B2FA-6A79-4A88-ACA0-5CF06D59A5DB}">
  <dimension ref="A1:J68"/>
  <sheetViews>
    <sheetView tabSelected="1" topLeftCell="B1" zoomScale="115" zoomScaleNormal="115" workbookViewId="0">
      <selection activeCell="B38" sqref="B38"/>
    </sheetView>
  </sheetViews>
  <sheetFormatPr defaultColWidth="9.109375" defaultRowHeight="14.4" x14ac:dyDescent="0.3"/>
  <cols>
    <col min="1" max="1" width="0" hidden="1" customWidth="1"/>
    <col min="2" max="2" width="50.5546875" bestFit="1" customWidth="1"/>
    <col min="3" max="3" width="33.77734375" bestFit="1" customWidth="1"/>
    <col min="4" max="4" width="50.5546875" customWidth="1"/>
    <col min="5" max="5" width="16.5546875" customWidth="1"/>
    <col min="7" max="7" width="16.44140625" bestFit="1" customWidth="1"/>
    <col min="8" max="8" width="20" bestFit="1" customWidth="1"/>
    <col min="9" max="9" width="15.44140625" bestFit="1" customWidth="1"/>
    <col min="10" max="10" width="12" bestFit="1" customWidth="1"/>
  </cols>
  <sheetData>
    <row r="1" spans="1:5" ht="15" thickBot="1" x14ac:dyDescent="0.35">
      <c r="B1" s="17" t="s">
        <v>54</v>
      </c>
      <c r="C1" s="18" t="s">
        <v>26</v>
      </c>
      <c r="D1" s="18" t="s">
        <v>27</v>
      </c>
      <c r="E1" s="19" t="s">
        <v>53</v>
      </c>
    </row>
    <row r="2" spans="1:5" ht="15" thickBot="1" x14ac:dyDescent="0.35">
      <c r="B2" s="20" t="s">
        <v>55</v>
      </c>
      <c r="C2" s="21"/>
      <c r="D2" s="21"/>
      <c r="E2" s="22"/>
    </row>
    <row r="3" spans="1:5" s="16" customFormat="1" ht="58.2" hidden="1" thickBot="1" x14ac:dyDescent="0.35">
      <c r="A3" s="16" t="s">
        <v>56</v>
      </c>
      <c r="B3" s="23" t="s">
        <v>57</v>
      </c>
      <c r="C3" s="24" t="s">
        <v>28</v>
      </c>
      <c r="D3" s="25" t="s">
        <v>29</v>
      </c>
      <c r="E3" s="26"/>
    </row>
    <row r="4" spans="1:5" ht="43.8" hidden="1" thickBot="1" x14ac:dyDescent="0.35">
      <c r="A4" s="16" t="s">
        <v>56</v>
      </c>
      <c r="B4" s="23" t="s">
        <v>58</v>
      </c>
      <c r="C4" s="24" t="s">
        <v>35</v>
      </c>
      <c r="D4" s="25" t="s">
        <v>36</v>
      </c>
      <c r="E4" s="26"/>
    </row>
    <row r="5" spans="1:5" ht="15" thickBot="1" x14ac:dyDescent="0.35">
      <c r="B5" s="23"/>
      <c r="C5" s="24"/>
      <c r="D5" s="24"/>
      <c r="E5" s="27"/>
    </row>
    <row r="6" spans="1:5" ht="15" thickBot="1" x14ac:dyDescent="0.35">
      <c r="B6" s="20" t="s">
        <v>59</v>
      </c>
      <c r="C6" s="21"/>
      <c r="D6" s="21"/>
      <c r="E6" s="22"/>
    </row>
    <row r="7" spans="1:5" ht="15" hidden="1" thickBot="1" x14ac:dyDescent="0.35">
      <c r="B7" s="23" t="s">
        <v>60</v>
      </c>
      <c r="C7" s="24"/>
      <c r="D7" s="24"/>
      <c r="E7" s="27"/>
    </row>
    <row r="8" spans="1:5" ht="15" thickBot="1" x14ac:dyDescent="0.35">
      <c r="A8" s="16" t="s">
        <v>61</v>
      </c>
      <c r="B8" s="23" t="s">
        <v>62</v>
      </c>
      <c r="C8" s="24" t="s">
        <v>30</v>
      </c>
      <c r="D8" s="24" t="s">
        <v>31</v>
      </c>
      <c r="E8" s="26">
        <v>66</v>
      </c>
    </row>
    <row r="9" spans="1:5" ht="29.4" thickBot="1" x14ac:dyDescent="0.35">
      <c r="A9" s="16" t="s">
        <v>61</v>
      </c>
      <c r="B9" s="23" t="s">
        <v>39</v>
      </c>
      <c r="C9" s="23" t="s">
        <v>39</v>
      </c>
      <c r="D9" s="25" t="s">
        <v>40</v>
      </c>
      <c r="E9" s="26">
        <v>1056</v>
      </c>
    </row>
    <row r="10" spans="1:5" ht="29.4" thickBot="1" x14ac:dyDescent="0.35">
      <c r="A10" s="16" t="s">
        <v>61</v>
      </c>
      <c r="B10" s="23" t="s">
        <v>41</v>
      </c>
      <c r="C10" s="23" t="s">
        <v>41</v>
      </c>
      <c r="D10" s="25" t="s">
        <v>42</v>
      </c>
      <c r="E10" s="26">
        <v>2552</v>
      </c>
    </row>
    <row r="11" spans="1:5" ht="15" hidden="1" thickBot="1" x14ac:dyDescent="0.35">
      <c r="A11" s="16" t="s">
        <v>61</v>
      </c>
      <c r="B11" s="23" t="s">
        <v>63</v>
      </c>
      <c r="C11" s="24"/>
      <c r="D11" s="24"/>
      <c r="E11" s="26"/>
    </row>
    <row r="12" spans="1:5" ht="15" thickBot="1" x14ac:dyDescent="0.35">
      <c r="B12" s="23"/>
      <c r="C12" s="24"/>
      <c r="D12" s="24"/>
      <c r="E12" s="26"/>
    </row>
    <row r="13" spans="1:5" ht="15" thickBot="1" x14ac:dyDescent="0.35">
      <c r="B13" s="20" t="s">
        <v>64</v>
      </c>
      <c r="C13" s="21"/>
      <c r="D13" s="21"/>
      <c r="E13" s="22"/>
    </row>
    <row r="14" spans="1:5" ht="29.4" hidden="1" thickBot="1" x14ac:dyDescent="0.35">
      <c r="B14" s="23" t="s">
        <v>65</v>
      </c>
      <c r="C14" s="24" t="s">
        <v>66</v>
      </c>
      <c r="D14" s="25" t="s">
        <v>67</v>
      </c>
      <c r="E14" s="27"/>
    </row>
    <row r="15" spans="1:5" ht="15" thickBot="1" x14ac:dyDescent="0.35">
      <c r="A15" s="16" t="s">
        <v>61</v>
      </c>
      <c r="B15" s="23" t="s">
        <v>68</v>
      </c>
      <c r="C15" s="24" t="s">
        <v>32</v>
      </c>
      <c r="D15" s="24" t="s">
        <v>33</v>
      </c>
      <c r="E15" s="27">
        <v>12</v>
      </c>
    </row>
    <row r="16" spans="1:5" ht="29.4" hidden="1" thickBot="1" x14ac:dyDescent="0.35">
      <c r="A16" s="16" t="s">
        <v>61</v>
      </c>
      <c r="B16" s="23" t="s">
        <v>69</v>
      </c>
      <c r="C16" s="24" t="s">
        <v>70</v>
      </c>
      <c r="D16" s="25" t="s">
        <v>71</v>
      </c>
      <c r="E16" s="27"/>
    </row>
    <row r="17" spans="1:10" ht="15" thickBot="1" x14ac:dyDescent="0.35">
      <c r="A17" s="16" t="s">
        <v>61</v>
      </c>
      <c r="B17" s="23" t="s">
        <v>62</v>
      </c>
      <c r="C17" s="24" t="s">
        <v>30</v>
      </c>
      <c r="D17" s="24" t="s">
        <v>31</v>
      </c>
      <c r="E17" s="27">
        <v>4</v>
      </c>
    </row>
    <row r="18" spans="1:10" ht="15" hidden="1" thickBot="1" x14ac:dyDescent="0.35">
      <c r="A18" s="16" t="s">
        <v>61</v>
      </c>
      <c r="B18" s="23" t="s">
        <v>60</v>
      </c>
      <c r="C18" s="24"/>
      <c r="D18" s="24"/>
      <c r="E18" s="27"/>
    </row>
    <row r="19" spans="1:10" ht="15" thickBot="1" x14ac:dyDescent="0.35">
      <c r="A19" s="16" t="s">
        <v>61</v>
      </c>
      <c r="B19" s="23" t="s">
        <v>72</v>
      </c>
      <c r="C19" s="24" t="s">
        <v>45</v>
      </c>
      <c r="D19" s="25" t="s">
        <v>46</v>
      </c>
      <c r="E19" s="27">
        <v>24</v>
      </c>
    </row>
    <row r="20" spans="1:10" ht="15" thickBot="1" x14ac:dyDescent="0.35">
      <c r="A20" s="16" t="s">
        <v>61</v>
      </c>
      <c r="B20" s="23" t="s">
        <v>63</v>
      </c>
      <c r="C20" s="24"/>
      <c r="D20" s="24"/>
      <c r="E20" s="27"/>
    </row>
    <row r="21" spans="1:10" ht="29.4" thickBot="1" x14ac:dyDescent="0.35">
      <c r="A21" s="16" t="s">
        <v>61</v>
      </c>
      <c r="B21" s="23" t="s">
        <v>73</v>
      </c>
      <c r="C21" s="24" t="s">
        <v>39</v>
      </c>
      <c r="D21" s="28" t="s">
        <v>40</v>
      </c>
      <c r="E21" s="27"/>
    </row>
    <row r="22" spans="1:10" ht="29.4" thickBot="1" x14ac:dyDescent="0.35">
      <c r="A22" s="16" t="s">
        <v>61</v>
      </c>
      <c r="B22" s="23" t="s">
        <v>41</v>
      </c>
      <c r="C22" s="24" t="s">
        <v>41</v>
      </c>
      <c r="D22" s="25" t="s">
        <v>42</v>
      </c>
      <c r="E22" s="27">
        <v>64</v>
      </c>
    </row>
    <row r="23" spans="1:10" ht="15" thickBot="1" x14ac:dyDescent="0.35">
      <c r="B23" s="23"/>
      <c r="C23" s="24"/>
      <c r="D23" s="24"/>
      <c r="E23" s="27"/>
    </row>
    <row r="24" spans="1:10" ht="15" thickBot="1" x14ac:dyDescent="0.35">
      <c r="B24" s="20" t="s">
        <v>74</v>
      </c>
      <c r="C24" s="21"/>
      <c r="D24" s="21"/>
      <c r="E24" s="29"/>
    </row>
    <row r="25" spans="1:10" ht="29.4" hidden="1" thickBot="1" x14ac:dyDescent="0.35">
      <c r="A25" s="16" t="s">
        <v>56</v>
      </c>
      <c r="B25" s="23" t="s">
        <v>75</v>
      </c>
      <c r="C25" s="24" t="s">
        <v>76</v>
      </c>
      <c r="D25" s="25" t="s">
        <v>77</v>
      </c>
      <c r="E25" s="27"/>
      <c r="G25" s="30" t="e">
        <f>#REF!/#REF!</f>
        <v>#REF!</v>
      </c>
      <c r="H25" s="31">
        <f>'[6]Rack BOM'!G42</f>
        <v>81513.166666666672</v>
      </c>
      <c r="I25" s="31">
        <f>H25*E25</f>
        <v>0</v>
      </c>
      <c r="J25" s="30" t="e">
        <f>I25/#REF!</f>
        <v>#REF!</v>
      </c>
    </row>
    <row r="26" spans="1:10" ht="15" hidden="1" thickBot="1" x14ac:dyDescent="0.35">
      <c r="A26" s="16" t="s">
        <v>56</v>
      </c>
      <c r="B26" s="23" t="s">
        <v>78</v>
      </c>
      <c r="C26" s="24" t="s">
        <v>34</v>
      </c>
      <c r="D26" s="24"/>
      <c r="E26" s="27"/>
    </row>
    <row r="27" spans="1:10" ht="43.8" hidden="1" thickBot="1" x14ac:dyDescent="0.35">
      <c r="A27" s="16" t="s">
        <v>56</v>
      </c>
      <c r="B27" s="23" t="s">
        <v>79</v>
      </c>
      <c r="C27" s="24" t="s">
        <v>80</v>
      </c>
      <c r="D27" s="25" t="s">
        <v>81</v>
      </c>
      <c r="E27" s="27"/>
    </row>
    <row r="28" spans="1:10" ht="29.4" hidden="1" thickBot="1" x14ac:dyDescent="0.35">
      <c r="A28" s="16" t="s">
        <v>56</v>
      </c>
      <c r="B28" s="23" t="s">
        <v>82</v>
      </c>
      <c r="C28" s="24"/>
      <c r="D28" s="25" t="s">
        <v>83</v>
      </c>
      <c r="E28" s="27"/>
    </row>
    <row r="29" spans="1:10" ht="15" hidden="1" thickBot="1" x14ac:dyDescent="0.35">
      <c r="A29" s="16" t="s">
        <v>84</v>
      </c>
      <c r="B29" s="23"/>
      <c r="C29" s="24"/>
      <c r="D29" s="24" t="s">
        <v>85</v>
      </c>
      <c r="E29" s="27"/>
    </row>
    <row r="30" spans="1:10" ht="15" hidden="1" thickBot="1" x14ac:dyDescent="0.35">
      <c r="B30" s="23"/>
      <c r="C30" s="24"/>
      <c r="D30" s="24"/>
      <c r="E30" s="27"/>
    </row>
    <row r="31" spans="1:10" ht="15" hidden="1" thickBot="1" x14ac:dyDescent="0.35">
      <c r="A31" s="16" t="s">
        <v>61</v>
      </c>
      <c r="B31" s="23" t="s">
        <v>86</v>
      </c>
      <c r="C31" s="24" t="s">
        <v>87</v>
      </c>
      <c r="D31" s="24" t="s">
        <v>88</v>
      </c>
      <c r="E31" s="27">
        <v>0</v>
      </c>
    </row>
    <row r="32" spans="1:10" ht="29.4" hidden="1" thickBot="1" x14ac:dyDescent="0.35">
      <c r="A32" s="16" t="s">
        <v>89</v>
      </c>
      <c r="B32" s="23" t="s">
        <v>90</v>
      </c>
      <c r="C32" s="24" t="s">
        <v>91</v>
      </c>
      <c r="D32" s="25" t="s">
        <v>51</v>
      </c>
      <c r="E32" s="27">
        <v>0</v>
      </c>
    </row>
    <row r="33" spans="1:8" ht="15" hidden="1" thickBot="1" x14ac:dyDescent="0.35">
      <c r="B33" s="23"/>
      <c r="C33" s="24"/>
      <c r="D33" s="24"/>
      <c r="E33" s="32"/>
    </row>
    <row r="34" spans="1:8" ht="15" thickBot="1" x14ac:dyDescent="0.35">
      <c r="A34" s="16" t="s">
        <v>61</v>
      </c>
      <c r="B34" s="23" t="s">
        <v>86</v>
      </c>
      <c r="C34" s="24" t="s">
        <v>87</v>
      </c>
      <c r="D34" s="24" t="s">
        <v>92</v>
      </c>
      <c r="E34" s="27">
        <v>1</v>
      </c>
    </row>
    <row r="35" spans="1:8" ht="29.4" thickBot="1" x14ac:dyDescent="0.35">
      <c r="A35" s="16" t="s">
        <v>89</v>
      </c>
      <c r="B35" s="23" t="s">
        <v>90</v>
      </c>
      <c r="C35" s="24" t="s">
        <v>91</v>
      </c>
      <c r="D35" s="25" t="s">
        <v>51</v>
      </c>
      <c r="E35" s="27">
        <v>0</v>
      </c>
    </row>
    <row r="36" spans="1:8" ht="15" thickBot="1" x14ac:dyDescent="0.35">
      <c r="B36" s="23"/>
      <c r="C36" s="24"/>
      <c r="D36" s="24"/>
      <c r="E36" s="32"/>
    </row>
    <row r="37" spans="1:8" ht="15" thickBot="1" x14ac:dyDescent="0.35">
      <c r="A37" s="16" t="s">
        <v>61</v>
      </c>
      <c r="B37" s="23" t="s">
        <v>86</v>
      </c>
      <c r="C37" s="24" t="s">
        <v>87</v>
      </c>
      <c r="D37" s="24" t="s">
        <v>93</v>
      </c>
      <c r="E37" s="27">
        <v>10</v>
      </c>
    </row>
    <row r="38" spans="1:8" ht="29.4" thickBot="1" x14ac:dyDescent="0.35">
      <c r="A38" s="16" t="s">
        <v>89</v>
      </c>
      <c r="B38" s="24" t="s">
        <v>91</v>
      </c>
      <c r="C38" s="23" t="s">
        <v>90</v>
      </c>
      <c r="D38" s="25" t="s">
        <v>51</v>
      </c>
      <c r="E38" s="27">
        <v>8</v>
      </c>
      <c r="G38" s="24" t="s">
        <v>91</v>
      </c>
    </row>
    <row r="39" spans="1:8" ht="15" thickBot="1" x14ac:dyDescent="0.35">
      <c r="B39" s="23"/>
      <c r="C39" s="24"/>
      <c r="D39" s="24"/>
      <c r="E39" s="32"/>
    </row>
    <row r="40" spans="1:8" x14ac:dyDescent="0.3">
      <c r="B40" s="33" t="s">
        <v>52</v>
      </c>
      <c r="C40" s="33"/>
      <c r="D40" s="33"/>
      <c r="E40" s="34"/>
    </row>
    <row r="41" spans="1:8" x14ac:dyDescent="0.3">
      <c r="H41" s="35"/>
    </row>
    <row r="42" spans="1:8" x14ac:dyDescent="0.3">
      <c r="B42" s="36" t="s">
        <v>27</v>
      </c>
      <c r="C42" s="36"/>
      <c r="D42" s="36"/>
      <c r="E42" s="36" t="s">
        <v>53</v>
      </c>
      <c r="H42" s="35"/>
    </row>
    <row r="43" spans="1:8" x14ac:dyDescent="0.3">
      <c r="B43" s="15" t="str">
        <f>B2</f>
        <v>Networking E-W</v>
      </c>
      <c r="C43" s="15"/>
      <c r="D43" s="15"/>
      <c r="E43" s="15"/>
    </row>
    <row r="44" spans="1:8" x14ac:dyDescent="0.3">
      <c r="B44" s="15" t="str">
        <f>B6</f>
        <v>Networking N-S</v>
      </c>
      <c r="C44" s="15"/>
      <c r="D44" s="15"/>
      <c r="E44" s="15"/>
      <c r="H44" s="30"/>
    </row>
    <row r="45" spans="1:8" x14ac:dyDescent="0.3">
      <c r="B45" s="15" t="str">
        <f>B13</f>
        <v>OOB Network</v>
      </c>
      <c r="C45" s="15"/>
      <c r="D45" s="15"/>
      <c r="E45" s="15"/>
    </row>
    <row r="46" spans="1:8" x14ac:dyDescent="0.3">
      <c r="B46" s="15" t="str">
        <f>B24</f>
        <v>Networking Rack Infrastructure</v>
      </c>
      <c r="C46" s="15"/>
      <c r="D46" s="15"/>
      <c r="E46" s="15"/>
    </row>
    <row r="47" spans="1:8" x14ac:dyDescent="0.3">
      <c r="B47" s="37" t="s">
        <v>94</v>
      </c>
      <c r="C47" s="38"/>
      <c r="D47" s="38"/>
      <c r="E47" s="39"/>
    </row>
    <row r="48" spans="1:8" x14ac:dyDescent="0.3">
      <c r="B48" s="40"/>
      <c r="C48" s="40"/>
      <c r="D48" s="40"/>
    </row>
    <row r="49" spans="1:5" x14ac:dyDescent="0.3">
      <c r="B49" s="41" t="s">
        <v>95</v>
      </c>
      <c r="C49" s="41"/>
      <c r="D49" s="41"/>
      <c r="E49" s="42"/>
    </row>
    <row r="50" spans="1:5" x14ac:dyDescent="0.3">
      <c r="B50" s="41" t="s">
        <v>96</v>
      </c>
      <c r="C50" s="41"/>
      <c r="D50" s="41"/>
      <c r="E50" s="42"/>
    </row>
    <row r="51" spans="1:5" x14ac:dyDescent="0.3">
      <c r="B51" s="40"/>
      <c r="C51" s="40"/>
      <c r="D51" s="40"/>
    </row>
    <row r="52" spans="1:5" x14ac:dyDescent="0.3">
      <c r="B52" s="40"/>
      <c r="C52" s="40"/>
      <c r="D52" s="40"/>
    </row>
    <row r="53" spans="1:5" x14ac:dyDescent="0.3">
      <c r="B53" s="43" t="s">
        <v>97</v>
      </c>
      <c r="C53" s="44"/>
      <c r="D53" s="44"/>
      <c r="E53" s="45"/>
    </row>
    <row r="54" spans="1:5" x14ac:dyDescent="0.3">
      <c r="B54" s="46" t="s">
        <v>98</v>
      </c>
      <c r="C54" s="46"/>
      <c r="D54" s="46"/>
      <c r="E54" s="47">
        <v>0</v>
      </c>
    </row>
    <row r="55" spans="1:5" x14ac:dyDescent="0.3">
      <c r="B55" s="46" t="s">
        <v>99</v>
      </c>
      <c r="C55" s="46"/>
      <c r="D55" s="46"/>
      <c r="E55" s="47"/>
    </row>
    <row r="56" spans="1:5" x14ac:dyDescent="0.3">
      <c r="B56" s="46" t="s">
        <v>100</v>
      </c>
      <c r="C56" s="46"/>
      <c r="D56" s="46"/>
      <c r="E56" s="46"/>
    </row>
    <row r="57" spans="1:5" x14ac:dyDescent="0.3">
      <c r="B57" s="46" t="s">
        <v>101</v>
      </c>
      <c r="C57" s="46"/>
      <c r="D57" s="46"/>
      <c r="E57" s="46"/>
    </row>
    <row r="58" spans="1:5" x14ac:dyDescent="0.3">
      <c r="B58" s="46" t="s">
        <v>102</v>
      </c>
      <c r="C58" s="46"/>
      <c r="D58" s="46"/>
      <c r="E58" s="47">
        <v>528</v>
      </c>
    </row>
    <row r="59" spans="1:5" x14ac:dyDescent="0.3">
      <c r="B59" s="46" t="s">
        <v>103</v>
      </c>
      <c r="C59" s="46"/>
      <c r="D59" s="46"/>
      <c r="E59" s="46"/>
    </row>
    <row r="60" spans="1:5" x14ac:dyDescent="0.3">
      <c r="B60" s="46" t="s">
        <v>104</v>
      </c>
      <c r="C60" s="46"/>
      <c r="D60" s="46"/>
      <c r="E60" s="46"/>
    </row>
    <row r="61" spans="1:5" x14ac:dyDescent="0.3">
      <c r="B61" s="48" t="s">
        <v>105</v>
      </c>
      <c r="C61" s="48"/>
      <c r="D61" s="48"/>
      <c r="E61" s="48"/>
    </row>
    <row r="62" spans="1:5" x14ac:dyDescent="0.3">
      <c r="B62" s="48" t="s">
        <v>106</v>
      </c>
      <c r="C62" s="48"/>
      <c r="D62" s="48"/>
      <c r="E62" s="48"/>
    </row>
    <row r="63" spans="1:5" ht="29.4" thickBot="1" x14ac:dyDescent="0.35">
      <c r="A63" t="s">
        <v>107</v>
      </c>
      <c r="B63" s="23" t="s">
        <v>37</v>
      </c>
      <c r="C63" s="24" t="s">
        <v>37</v>
      </c>
      <c r="D63" s="25" t="s">
        <v>38</v>
      </c>
      <c r="E63" s="26">
        <v>2208</v>
      </c>
    </row>
    <row r="64" spans="1:5" ht="15" thickBot="1" x14ac:dyDescent="0.35">
      <c r="A64" t="s">
        <v>107</v>
      </c>
      <c r="B64" s="24" t="s">
        <v>43</v>
      </c>
      <c r="C64" s="24" t="s">
        <v>43</v>
      </c>
      <c r="D64" s="25" t="s">
        <v>44</v>
      </c>
      <c r="E64" s="26"/>
    </row>
    <row r="65" spans="1:5" ht="29.4" thickBot="1" x14ac:dyDescent="0.35">
      <c r="A65" t="s">
        <v>107</v>
      </c>
      <c r="B65" s="23" t="s">
        <v>49</v>
      </c>
      <c r="C65" s="24" t="s">
        <v>49</v>
      </c>
      <c r="D65" s="25" t="s">
        <v>50</v>
      </c>
      <c r="E65" s="26">
        <v>16</v>
      </c>
    </row>
    <row r="66" spans="1:5" ht="29.4" thickBot="1" x14ac:dyDescent="0.35">
      <c r="A66" t="s">
        <v>107</v>
      </c>
      <c r="B66" s="23" t="s">
        <v>47</v>
      </c>
      <c r="C66" s="24" t="s">
        <v>47</v>
      </c>
      <c r="D66" s="25" t="s">
        <v>48</v>
      </c>
      <c r="E66" s="26">
        <v>16</v>
      </c>
    </row>
    <row r="67" spans="1:5" ht="29.4" thickBot="1" x14ac:dyDescent="0.35">
      <c r="A67" t="s">
        <v>107</v>
      </c>
      <c r="B67" s="23" t="s">
        <v>37</v>
      </c>
      <c r="C67" s="24" t="s">
        <v>37</v>
      </c>
      <c r="D67" s="25" t="s">
        <v>38</v>
      </c>
      <c r="E67" s="26">
        <v>24</v>
      </c>
    </row>
    <row r="68" spans="1:5" x14ac:dyDescent="0.3">
      <c r="B68" s="49"/>
      <c r="C68" s="49"/>
      <c r="D68" s="49"/>
    </row>
  </sheetData>
  <pageMargins left="0.7" right="0.7" top="0.75" bottom="0.75" header="0.3" footer="0.3"/>
  <headerFooter>
    <oddFooter>&amp;L_x000D_&amp;1#&amp;"Aptos"&amp;7&amp;K737373 Internal Use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3037-606D-46E9-9387-C4001ED6A348}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CE89-1974-4496-9441-4F888187FE81}">
  <dimension ref="A1:N58"/>
  <sheetViews>
    <sheetView workbookViewId="0">
      <selection activeCell="A7" sqref="A7"/>
    </sheetView>
  </sheetViews>
  <sheetFormatPr defaultColWidth="9.109375" defaultRowHeight="14.4" x14ac:dyDescent="0.3"/>
  <cols>
    <col min="1" max="1" width="52.77734375" style="1" customWidth="1"/>
    <col min="2" max="2" width="12.44140625" style="1" customWidth="1"/>
    <col min="3" max="3" width="12.77734375" style="1" customWidth="1"/>
    <col min="4" max="4" width="54.5546875" style="1" customWidth="1"/>
    <col min="5" max="5" width="11.77734375" style="1" customWidth="1"/>
    <col min="6" max="6" width="14.109375" style="1" customWidth="1"/>
    <col min="7" max="7" width="18.88671875" style="1" customWidth="1"/>
    <col min="8" max="8" width="46.109375" style="1" customWidth="1"/>
    <col min="9" max="9" width="10.44140625" style="1" customWidth="1"/>
    <col min="10" max="10" width="78.109375" style="1" customWidth="1"/>
    <col min="11" max="11" width="15.44140625" style="1" customWidth="1"/>
    <col min="12" max="12" width="40.88671875" style="1" customWidth="1"/>
    <col min="13" max="13" width="4.109375" style="1" customWidth="1"/>
    <col min="14" max="14" width="17.88671875" style="1" customWidth="1"/>
    <col min="15" max="16384" width="9.109375" style="1"/>
  </cols>
  <sheetData>
    <row r="1" spans="1:14" ht="60" customHeight="1" x14ac:dyDescent="0.3"/>
    <row r="2" spans="1:14" x14ac:dyDescent="0.3">
      <c r="A2" s="1" t="s">
        <v>108</v>
      </c>
    </row>
    <row r="3" spans="1:14" x14ac:dyDescent="0.3">
      <c r="A3" s="1" t="s">
        <v>109</v>
      </c>
    </row>
    <row r="4" spans="1:14" x14ac:dyDescent="0.3">
      <c r="A4" s="1" t="s">
        <v>110</v>
      </c>
    </row>
    <row r="5" spans="1:14" x14ac:dyDescent="0.3">
      <c r="A5" s="1" t="s">
        <v>111</v>
      </c>
    </row>
    <row r="6" spans="1:14" x14ac:dyDescent="0.3">
      <c r="A6" s="1" t="s">
        <v>112</v>
      </c>
    </row>
    <row r="7" spans="1:14" ht="43.2" x14ac:dyDescent="0.3">
      <c r="A7" s="2" t="s">
        <v>113</v>
      </c>
    </row>
    <row r="8" spans="1:14" x14ac:dyDescent="0.3">
      <c r="A8" s="3"/>
      <c r="B8" s="3" t="s">
        <v>114</v>
      </c>
      <c r="C8" s="3" t="s">
        <v>115</v>
      </c>
      <c r="D8" s="3" t="s">
        <v>116</v>
      </c>
      <c r="E8" s="3" t="s">
        <v>117</v>
      </c>
      <c r="F8" s="3" t="s">
        <v>118</v>
      </c>
      <c r="G8" s="3" t="s">
        <v>119</v>
      </c>
      <c r="H8" s="3" t="s">
        <v>120</v>
      </c>
      <c r="I8" s="3" t="s">
        <v>121</v>
      </c>
      <c r="J8" s="3" t="s">
        <v>122</v>
      </c>
      <c r="K8" s="3" t="s">
        <v>123</v>
      </c>
      <c r="L8" s="3" t="s">
        <v>124</v>
      </c>
      <c r="M8" s="3" t="s">
        <v>125</v>
      </c>
      <c r="N8" s="3" t="s">
        <v>126</v>
      </c>
    </row>
    <row r="9" spans="1:14" x14ac:dyDescent="0.3">
      <c r="B9" s="1" t="s">
        <v>127</v>
      </c>
      <c r="C9" s="1" t="s">
        <v>128</v>
      </c>
      <c r="D9" s="1" t="s">
        <v>129</v>
      </c>
      <c r="E9" s="1">
        <v>8</v>
      </c>
      <c r="F9" s="4">
        <v>326247.63</v>
      </c>
      <c r="G9" s="4">
        <v>2609981.04</v>
      </c>
    </row>
    <row r="10" spans="1:14" x14ac:dyDescent="0.3">
      <c r="H10" s="1" t="s">
        <v>130</v>
      </c>
      <c r="I10" s="1" t="s">
        <v>131</v>
      </c>
      <c r="J10" s="1" t="s">
        <v>132</v>
      </c>
      <c r="K10" s="4">
        <v>4496.13</v>
      </c>
      <c r="L10" s="1" t="s">
        <v>133</v>
      </c>
      <c r="M10" s="1">
        <v>1</v>
      </c>
    </row>
    <row r="11" spans="1:14" x14ac:dyDescent="0.3">
      <c r="H11" s="1" t="s">
        <v>134</v>
      </c>
      <c r="I11" s="1" t="s">
        <v>135</v>
      </c>
      <c r="J11" s="1" t="s">
        <v>136</v>
      </c>
      <c r="K11" s="4">
        <v>0</v>
      </c>
      <c r="L11" s="1" t="s">
        <v>137</v>
      </c>
      <c r="M11" s="1">
        <v>1</v>
      </c>
    </row>
    <row r="12" spans="1:14" x14ac:dyDescent="0.3">
      <c r="H12" s="1" t="s">
        <v>138</v>
      </c>
      <c r="I12" s="1" t="s">
        <v>139</v>
      </c>
      <c r="J12" s="1" t="s">
        <v>140</v>
      </c>
      <c r="K12" s="4">
        <v>0</v>
      </c>
      <c r="L12" s="1" t="s">
        <v>141</v>
      </c>
      <c r="M12" s="1">
        <v>1</v>
      </c>
    </row>
    <row r="13" spans="1:14" x14ac:dyDescent="0.3">
      <c r="H13" s="1" t="s">
        <v>142</v>
      </c>
      <c r="I13" s="1" t="s">
        <v>143</v>
      </c>
      <c r="J13" s="1" t="s">
        <v>144</v>
      </c>
      <c r="K13" s="4">
        <v>0</v>
      </c>
      <c r="L13" s="1" t="s">
        <v>145</v>
      </c>
      <c r="M13" s="1">
        <v>1</v>
      </c>
    </row>
    <row r="14" spans="1:14" x14ac:dyDescent="0.3">
      <c r="H14" s="1" t="s">
        <v>146</v>
      </c>
      <c r="I14" s="1" t="s">
        <v>147</v>
      </c>
      <c r="J14" s="1" t="s">
        <v>148</v>
      </c>
      <c r="K14" s="4">
        <v>99</v>
      </c>
      <c r="L14" s="1" t="s">
        <v>149</v>
      </c>
      <c r="M14" s="1">
        <v>1</v>
      </c>
    </row>
    <row r="15" spans="1:14" x14ac:dyDescent="0.3">
      <c r="H15" s="1" t="s">
        <v>150</v>
      </c>
      <c r="I15" s="1" t="s">
        <v>151</v>
      </c>
      <c r="J15" s="1" t="s">
        <v>152</v>
      </c>
      <c r="K15" s="4">
        <v>1080</v>
      </c>
      <c r="L15" s="1" t="s">
        <v>153</v>
      </c>
      <c r="M15" s="1">
        <v>1</v>
      </c>
    </row>
    <row r="16" spans="1:14" x14ac:dyDescent="0.3">
      <c r="H16" s="1" t="s">
        <v>154</v>
      </c>
      <c r="I16" s="1" t="s">
        <v>155</v>
      </c>
      <c r="J16" s="1" t="s">
        <v>156</v>
      </c>
      <c r="K16" s="4">
        <v>10645</v>
      </c>
      <c r="L16" s="1" t="s">
        <v>157</v>
      </c>
      <c r="M16" s="1">
        <v>1</v>
      </c>
    </row>
    <row r="17" spans="8:13" x14ac:dyDescent="0.3">
      <c r="H17" s="1" t="s">
        <v>158</v>
      </c>
      <c r="I17" s="1" t="s">
        <v>159</v>
      </c>
      <c r="J17" s="1" t="s">
        <v>160</v>
      </c>
      <c r="K17" s="4">
        <v>157.4</v>
      </c>
      <c r="L17" s="1" t="s">
        <v>161</v>
      </c>
      <c r="M17" s="1">
        <v>1</v>
      </c>
    </row>
    <row r="18" spans="8:13" x14ac:dyDescent="0.3">
      <c r="H18" s="1" t="s">
        <v>162</v>
      </c>
      <c r="I18" s="1" t="s">
        <v>163</v>
      </c>
      <c r="J18" s="1" t="s">
        <v>164</v>
      </c>
      <c r="K18" s="4">
        <v>0</v>
      </c>
      <c r="L18" s="1" t="s">
        <v>165</v>
      </c>
      <c r="M18" s="1">
        <v>1</v>
      </c>
    </row>
    <row r="19" spans="8:13" x14ac:dyDescent="0.3">
      <c r="H19" s="1" t="s">
        <v>166</v>
      </c>
      <c r="I19" s="1" t="s">
        <v>167</v>
      </c>
      <c r="J19" s="1" t="s">
        <v>168</v>
      </c>
      <c r="K19" s="4">
        <v>0</v>
      </c>
      <c r="L19" s="1" t="s">
        <v>169</v>
      </c>
      <c r="M19" s="1">
        <v>1</v>
      </c>
    </row>
    <row r="20" spans="8:13" x14ac:dyDescent="0.3">
      <c r="H20" s="1" t="s">
        <v>170</v>
      </c>
      <c r="I20" s="1" t="s">
        <v>171</v>
      </c>
      <c r="J20" s="1" t="s">
        <v>172</v>
      </c>
      <c r="K20" s="4">
        <v>25824</v>
      </c>
      <c r="L20" s="1" t="s">
        <v>173</v>
      </c>
      <c r="M20" s="1">
        <v>12</v>
      </c>
    </row>
    <row r="21" spans="8:13" x14ac:dyDescent="0.3">
      <c r="H21" s="1" t="s">
        <v>174</v>
      </c>
      <c r="I21" s="1" t="s">
        <v>175</v>
      </c>
      <c r="J21" s="1" t="s">
        <v>176</v>
      </c>
      <c r="K21" s="4">
        <v>0</v>
      </c>
      <c r="L21" s="1" t="s">
        <v>177</v>
      </c>
      <c r="M21" s="1">
        <v>1</v>
      </c>
    </row>
    <row r="22" spans="8:13" x14ac:dyDescent="0.3">
      <c r="H22" s="1" t="s">
        <v>178</v>
      </c>
      <c r="I22" s="1" t="s">
        <v>179</v>
      </c>
      <c r="J22" s="1" t="s">
        <v>180</v>
      </c>
      <c r="K22" s="4">
        <v>0</v>
      </c>
      <c r="L22" s="1" t="s">
        <v>181</v>
      </c>
      <c r="M22" s="1">
        <v>1</v>
      </c>
    </row>
    <row r="23" spans="8:13" x14ac:dyDescent="0.3">
      <c r="H23" s="1" t="s">
        <v>182</v>
      </c>
      <c r="I23" s="1" t="s">
        <v>183</v>
      </c>
      <c r="J23" s="1" t="s">
        <v>184</v>
      </c>
      <c r="K23" s="4">
        <v>0</v>
      </c>
      <c r="L23" s="1" t="s">
        <v>185</v>
      </c>
      <c r="M23" s="1">
        <v>1</v>
      </c>
    </row>
    <row r="24" spans="8:13" x14ac:dyDescent="0.3">
      <c r="H24" s="1" t="s">
        <v>186</v>
      </c>
      <c r="I24" s="1" t="s">
        <v>187</v>
      </c>
      <c r="J24" s="1" t="s">
        <v>188</v>
      </c>
      <c r="K24" s="4">
        <v>253785.98</v>
      </c>
      <c r="L24" s="1" t="s">
        <v>189</v>
      </c>
      <c r="M24" s="1">
        <v>14</v>
      </c>
    </row>
    <row r="25" spans="8:13" x14ac:dyDescent="0.3">
      <c r="H25" s="1" t="s">
        <v>190</v>
      </c>
      <c r="I25" s="1" t="s">
        <v>191</v>
      </c>
      <c r="J25" s="1" t="s">
        <v>192</v>
      </c>
      <c r="K25" s="4">
        <v>0</v>
      </c>
      <c r="L25" s="1" t="s">
        <v>193</v>
      </c>
      <c r="M25" s="1">
        <v>1</v>
      </c>
    </row>
    <row r="26" spans="8:13" x14ac:dyDescent="0.3">
      <c r="H26" s="1" t="s">
        <v>194</v>
      </c>
      <c r="I26" s="1" t="s">
        <v>195</v>
      </c>
      <c r="J26" s="1" t="s">
        <v>196</v>
      </c>
      <c r="K26" s="4">
        <v>0</v>
      </c>
      <c r="L26" s="1" t="s">
        <v>197</v>
      </c>
      <c r="M26" s="1">
        <v>1</v>
      </c>
    </row>
    <row r="27" spans="8:13" x14ac:dyDescent="0.3">
      <c r="H27" s="1" t="s">
        <v>198</v>
      </c>
      <c r="I27" s="1" t="s">
        <v>199</v>
      </c>
      <c r="J27" s="1" t="s">
        <v>200</v>
      </c>
      <c r="K27" s="4">
        <v>299</v>
      </c>
      <c r="L27" s="1" t="s">
        <v>201</v>
      </c>
      <c r="M27" s="1">
        <v>1</v>
      </c>
    </row>
    <row r="28" spans="8:13" x14ac:dyDescent="0.3">
      <c r="H28" s="1" t="s">
        <v>202</v>
      </c>
      <c r="I28" s="1" t="s">
        <v>203</v>
      </c>
      <c r="J28" s="1" t="s">
        <v>204</v>
      </c>
      <c r="K28" s="4">
        <v>1429</v>
      </c>
      <c r="L28" s="1" t="s">
        <v>205</v>
      </c>
      <c r="M28" s="1">
        <v>1</v>
      </c>
    </row>
    <row r="29" spans="8:13" x14ac:dyDescent="0.3">
      <c r="H29" s="1" t="s">
        <v>206</v>
      </c>
      <c r="I29" s="1" t="s">
        <v>207</v>
      </c>
      <c r="J29" s="1" t="s">
        <v>208</v>
      </c>
      <c r="K29" s="4">
        <v>70</v>
      </c>
      <c r="L29" s="1" t="s">
        <v>209</v>
      </c>
      <c r="M29" s="1">
        <v>2</v>
      </c>
    </row>
    <row r="30" spans="8:13" x14ac:dyDescent="0.3">
      <c r="H30" s="1" t="s">
        <v>210</v>
      </c>
      <c r="I30" s="1" t="s">
        <v>211</v>
      </c>
      <c r="J30" s="1" t="s">
        <v>212</v>
      </c>
      <c r="K30" s="4">
        <v>1147.5999999999999</v>
      </c>
      <c r="L30" s="1" t="s">
        <v>213</v>
      </c>
      <c r="M30" s="1">
        <v>1</v>
      </c>
    </row>
    <row r="31" spans="8:13" x14ac:dyDescent="0.3">
      <c r="H31" s="1" t="s">
        <v>214</v>
      </c>
      <c r="I31" s="1" t="s">
        <v>215</v>
      </c>
      <c r="J31" s="1" t="s">
        <v>216</v>
      </c>
      <c r="K31" s="4">
        <v>0</v>
      </c>
      <c r="L31" s="1" t="s">
        <v>217</v>
      </c>
      <c r="M31" s="1">
        <v>1</v>
      </c>
    </row>
    <row r="32" spans="8:13" x14ac:dyDescent="0.3">
      <c r="H32" s="1" t="s">
        <v>218</v>
      </c>
      <c r="I32" s="1" t="s">
        <v>219</v>
      </c>
      <c r="J32" s="1" t="s">
        <v>220</v>
      </c>
      <c r="K32" s="4">
        <v>709</v>
      </c>
      <c r="L32" s="1" t="s">
        <v>221</v>
      </c>
      <c r="M32" s="1">
        <v>1</v>
      </c>
    </row>
    <row r="33" spans="8:13" x14ac:dyDescent="0.3">
      <c r="H33" s="1" t="s">
        <v>222</v>
      </c>
      <c r="I33" s="1" t="s">
        <v>223</v>
      </c>
      <c r="J33" s="1" t="s">
        <v>224</v>
      </c>
      <c r="K33" s="4">
        <v>139</v>
      </c>
      <c r="L33" s="1" t="s">
        <v>225</v>
      </c>
      <c r="M33" s="1">
        <v>1</v>
      </c>
    </row>
    <row r="34" spans="8:13" x14ac:dyDescent="0.3">
      <c r="H34" s="1" t="s">
        <v>222</v>
      </c>
      <c r="I34" s="1" t="s">
        <v>226</v>
      </c>
      <c r="J34" s="1" t="s">
        <v>227</v>
      </c>
      <c r="K34" s="4">
        <v>18938</v>
      </c>
      <c r="L34" s="1" t="s">
        <v>228</v>
      </c>
      <c r="M34" s="1">
        <v>2</v>
      </c>
    </row>
    <row r="35" spans="8:13" x14ac:dyDescent="0.3">
      <c r="H35" s="1" t="s">
        <v>229</v>
      </c>
      <c r="I35" s="1" t="s">
        <v>230</v>
      </c>
      <c r="J35" s="1" t="s">
        <v>231</v>
      </c>
      <c r="K35" s="4">
        <v>49</v>
      </c>
      <c r="L35" s="1" t="s">
        <v>232</v>
      </c>
      <c r="M35" s="1">
        <v>1</v>
      </c>
    </row>
    <row r="36" spans="8:13" x14ac:dyDescent="0.3">
      <c r="H36" s="1" t="s">
        <v>233</v>
      </c>
      <c r="I36" s="1" t="s">
        <v>234</v>
      </c>
      <c r="J36" s="1" t="s">
        <v>235</v>
      </c>
      <c r="K36" s="4">
        <v>4070</v>
      </c>
      <c r="L36" s="1" t="s">
        <v>236</v>
      </c>
      <c r="M36" s="1">
        <v>1</v>
      </c>
    </row>
    <row r="37" spans="8:13" x14ac:dyDescent="0.3">
      <c r="H37" s="1" t="s">
        <v>237</v>
      </c>
      <c r="I37" s="1" t="s">
        <v>238</v>
      </c>
      <c r="J37" s="1" t="s">
        <v>239</v>
      </c>
      <c r="K37" s="4">
        <v>0</v>
      </c>
      <c r="L37" s="1" t="s">
        <v>240</v>
      </c>
      <c r="M37" s="1">
        <v>1</v>
      </c>
    </row>
    <row r="38" spans="8:13" x14ac:dyDescent="0.3">
      <c r="H38" s="1" t="s">
        <v>241</v>
      </c>
      <c r="I38" s="1" t="s">
        <v>242</v>
      </c>
      <c r="J38" s="1" t="s">
        <v>243</v>
      </c>
      <c r="K38" s="4">
        <v>0</v>
      </c>
      <c r="L38" s="1" t="s">
        <v>244</v>
      </c>
      <c r="M38" s="1">
        <v>1</v>
      </c>
    </row>
    <row r="39" spans="8:13" x14ac:dyDescent="0.3">
      <c r="H39" s="1" t="s">
        <v>245</v>
      </c>
      <c r="I39" s="1" t="s">
        <v>246</v>
      </c>
      <c r="J39" s="1" t="s">
        <v>247</v>
      </c>
      <c r="K39" s="4">
        <v>0</v>
      </c>
      <c r="L39" s="1" t="s">
        <v>248</v>
      </c>
      <c r="M39" s="1">
        <v>1</v>
      </c>
    </row>
    <row r="40" spans="8:13" x14ac:dyDescent="0.3">
      <c r="H40" s="1" t="s">
        <v>245</v>
      </c>
      <c r="I40" s="1" t="s">
        <v>249</v>
      </c>
      <c r="J40" s="1" t="s">
        <v>250</v>
      </c>
      <c r="K40" s="4">
        <v>99</v>
      </c>
      <c r="L40" s="1" t="s">
        <v>251</v>
      </c>
      <c r="M40" s="1">
        <v>1</v>
      </c>
    </row>
    <row r="41" spans="8:13" x14ac:dyDescent="0.3">
      <c r="H41" s="1" t="s">
        <v>245</v>
      </c>
      <c r="I41" s="1" t="s">
        <v>252</v>
      </c>
      <c r="J41" s="1" t="s">
        <v>253</v>
      </c>
      <c r="K41" s="4">
        <v>1288</v>
      </c>
      <c r="L41" s="1" t="s">
        <v>254</v>
      </c>
      <c r="M41" s="1">
        <v>1</v>
      </c>
    </row>
    <row r="42" spans="8:13" x14ac:dyDescent="0.3">
      <c r="H42" s="1" t="s">
        <v>255</v>
      </c>
      <c r="I42" s="1" t="s">
        <v>256</v>
      </c>
      <c r="J42" s="1" t="s">
        <v>257</v>
      </c>
      <c r="K42" s="4">
        <v>0</v>
      </c>
      <c r="L42" s="1" t="s">
        <v>258</v>
      </c>
      <c r="M42" s="1">
        <v>1</v>
      </c>
    </row>
    <row r="43" spans="8:13" x14ac:dyDescent="0.3">
      <c r="H43" s="1" t="s">
        <v>259</v>
      </c>
      <c r="I43" s="1" t="s">
        <v>260</v>
      </c>
      <c r="J43" s="1" t="s">
        <v>261</v>
      </c>
      <c r="K43" s="4">
        <v>0</v>
      </c>
      <c r="L43" s="1" t="s">
        <v>262</v>
      </c>
      <c r="M43" s="1">
        <v>1</v>
      </c>
    </row>
    <row r="44" spans="8:13" x14ac:dyDescent="0.3">
      <c r="H44" s="1" t="s">
        <v>263</v>
      </c>
      <c r="I44" s="1" t="s">
        <v>264</v>
      </c>
      <c r="J44" s="1" t="s">
        <v>265</v>
      </c>
      <c r="K44" s="4">
        <v>0</v>
      </c>
      <c r="L44" s="1" t="s">
        <v>266</v>
      </c>
      <c r="M44" s="1">
        <v>1</v>
      </c>
    </row>
    <row r="45" spans="8:13" x14ac:dyDescent="0.3">
      <c r="H45" s="1" t="s">
        <v>267</v>
      </c>
      <c r="I45" s="1" t="s">
        <v>268</v>
      </c>
      <c r="J45" s="1" t="s">
        <v>269</v>
      </c>
      <c r="K45" s="4">
        <v>187.51</v>
      </c>
      <c r="L45" s="1" t="s">
        <v>270</v>
      </c>
      <c r="M45" s="1">
        <v>1</v>
      </c>
    </row>
    <row r="46" spans="8:13" x14ac:dyDescent="0.3">
      <c r="H46" s="1" t="s">
        <v>271</v>
      </c>
      <c r="I46" s="1" t="s">
        <v>272</v>
      </c>
      <c r="J46" s="1" t="s">
        <v>273</v>
      </c>
      <c r="K46" s="4">
        <v>0</v>
      </c>
      <c r="L46" s="1" t="s">
        <v>274</v>
      </c>
      <c r="M46" s="1">
        <v>1</v>
      </c>
    </row>
    <row r="47" spans="8:13" x14ac:dyDescent="0.3">
      <c r="H47" s="1" t="s">
        <v>275</v>
      </c>
      <c r="I47" s="1" t="s">
        <v>276</v>
      </c>
      <c r="J47" s="1" t="s">
        <v>277</v>
      </c>
      <c r="K47" s="4">
        <v>10</v>
      </c>
      <c r="L47" s="1" t="s">
        <v>278</v>
      </c>
      <c r="M47" s="1">
        <v>1</v>
      </c>
    </row>
    <row r="48" spans="8:13" x14ac:dyDescent="0.3">
      <c r="H48" s="1" t="s">
        <v>279</v>
      </c>
      <c r="I48" s="1" t="s">
        <v>280</v>
      </c>
      <c r="J48" s="1" t="s">
        <v>281</v>
      </c>
      <c r="K48" s="4">
        <v>99</v>
      </c>
      <c r="L48" s="1" t="s">
        <v>282</v>
      </c>
      <c r="M48" s="1">
        <v>1</v>
      </c>
    </row>
    <row r="49" spans="1:13" x14ac:dyDescent="0.3">
      <c r="H49" s="1" t="s">
        <v>283</v>
      </c>
      <c r="I49" s="1" t="s">
        <v>284</v>
      </c>
      <c r="J49" s="1" t="s">
        <v>285</v>
      </c>
      <c r="K49" s="4">
        <v>0</v>
      </c>
      <c r="L49" s="1" t="s">
        <v>286</v>
      </c>
      <c r="M49" s="1">
        <v>1</v>
      </c>
    </row>
    <row r="50" spans="1:13" x14ac:dyDescent="0.3">
      <c r="H50" s="1" t="s">
        <v>287</v>
      </c>
      <c r="I50" s="1" t="s">
        <v>288</v>
      </c>
      <c r="J50" s="1" t="s">
        <v>289</v>
      </c>
      <c r="K50" s="4">
        <v>0</v>
      </c>
      <c r="L50" s="1" t="s">
        <v>290</v>
      </c>
      <c r="M50" s="1">
        <v>1</v>
      </c>
    </row>
    <row r="51" spans="1:13" x14ac:dyDescent="0.3">
      <c r="H51" s="1" t="s">
        <v>291</v>
      </c>
      <c r="I51" s="1" t="s">
        <v>292</v>
      </c>
      <c r="J51" s="1" t="s">
        <v>293</v>
      </c>
      <c r="K51" s="4">
        <v>0</v>
      </c>
      <c r="L51" s="1" t="s">
        <v>294</v>
      </c>
      <c r="M51" s="1">
        <v>1</v>
      </c>
    </row>
    <row r="52" spans="1:13" x14ac:dyDescent="0.3">
      <c r="H52" s="1" t="s">
        <v>295</v>
      </c>
      <c r="I52" s="1" t="s">
        <v>296</v>
      </c>
      <c r="J52" s="1" t="s">
        <v>297</v>
      </c>
      <c r="K52" s="4">
        <v>1626.01</v>
      </c>
      <c r="L52" s="1" t="s">
        <v>298</v>
      </c>
      <c r="M52" s="1">
        <v>1</v>
      </c>
    </row>
    <row r="53" spans="1:13" x14ac:dyDescent="0.3">
      <c r="H53" s="1" t="s">
        <v>299</v>
      </c>
      <c r="I53" s="1" t="s">
        <v>300</v>
      </c>
      <c r="J53" s="1" t="s">
        <v>301</v>
      </c>
      <c r="K53" s="4">
        <v>0</v>
      </c>
      <c r="L53" s="1" t="s">
        <v>302</v>
      </c>
      <c r="M53" s="1">
        <v>1</v>
      </c>
    </row>
    <row r="54" spans="1:13" x14ac:dyDescent="0.3">
      <c r="B54" s="1" t="s">
        <v>127</v>
      </c>
      <c r="C54" s="1" t="s">
        <v>128</v>
      </c>
      <c r="D54" s="1" t="s">
        <v>303</v>
      </c>
      <c r="E54" s="1">
        <v>480</v>
      </c>
      <c r="F54" s="4">
        <v>1125</v>
      </c>
      <c r="G54" s="4">
        <v>540000</v>
      </c>
      <c r="L54" s="1" t="s">
        <v>304</v>
      </c>
    </row>
    <row r="55" spans="1:13" x14ac:dyDescent="0.3">
      <c r="B55" s="1" t="s">
        <v>127</v>
      </c>
      <c r="C55" s="1" t="s">
        <v>128</v>
      </c>
      <c r="D55" s="1" t="s">
        <v>305</v>
      </c>
      <c r="E55" s="1">
        <v>1</v>
      </c>
      <c r="F55" s="4">
        <v>25000</v>
      </c>
      <c r="G55" s="4">
        <v>25000</v>
      </c>
      <c r="L55" s="1" t="s">
        <v>306</v>
      </c>
    </row>
    <row r="58" spans="1:13" x14ac:dyDescent="0.3">
      <c r="A58" s="1" t="s">
        <v>307</v>
      </c>
    </row>
  </sheetData>
  <pageMargins left="0.75" right="0.75" top="0.75" bottom="0.5" header="0.5" footer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EA29-51EE-45DB-92FD-54FCF8226983}">
  <dimension ref="A1:N97"/>
  <sheetViews>
    <sheetView workbookViewId="0">
      <selection activeCell="A7" sqref="A7"/>
    </sheetView>
  </sheetViews>
  <sheetFormatPr defaultColWidth="9.109375" defaultRowHeight="14.4" x14ac:dyDescent="0.3"/>
  <cols>
    <col min="1" max="1" width="52.77734375" style="1" customWidth="1"/>
    <col min="2" max="2" width="12.44140625" style="1" customWidth="1"/>
    <col min="3" max="3" width="12.77734375" style="1" customWidth="1"/>
    <col min="4" max="4" width="44.21875" style="1" customWidth="1"/>
    <col min="5" max="5" width="11.77734375" style="1" customWidth="1"/>
    <col min="6" max="6" width="14.109375" style="1" customWidth="1"/>
    <col min="7" max="7" width="18.88671875" style="1" customWidth="1"/>
    <col min="8" max="8" width="46.109375" style="1" customWidth="1"/>
    <col min="9" max="9" width="10.77734375" style="1" customWidth="1"/>
    <col min="10" max="10" width="82.109375" style="1" customWidth="1"/>
    <col min="11" max="11" width="15.44140625" style="1" customWidth="1"/>
    <col min="12" max="12" width="40.88671875" style="1" customWidth="1"/>
    <col min="13" max="13" width="4.109375" style="1" customWidth="1"/>
    <col min="14" max="14" width="17.88671875" style="1" customWidth="1"/>
    <col min="15" max="16384" width="9.109375" style="1"/>
  </cols>
  <sheetData>
    <row r="1" spans="1:14" ht="60" customHeight="1" x14ac:dyDescent="0.3"/>
    <row r="2" spans="1:14" x14ac:dyDescent="0.3">
      <c r="A2" s="1" t="s">
        <v>308</v>
      </c>
    </row>
    <row r="3" spans="1:14" x14ac:dyDescent="0.3">
      <c r="A3" s="1" t="s">
        <v>309</v>
      </c>
    </row>
    <row r="4" spans="1:14" x14ac:dyDescent="0.3">
      <c r="A4" s="1" t="s">
        <v>110</v>
      </c>
    </row>
    <row r="5" spans="1:14" x14ac:dyDescent="0.3">
      <c r="A5" s="1" t="s">
        <v>310</v>
      </c>
    </row>
    <row r="6" spans="1:14" x14ac:dyDescent="0.3">
      <c r="A6" s="1" t="s">
        <v>311</v>
      </c>
    </row>
    <row r="7" spans="1:14" ht="43.2" x14ac:dyDescent="0.3">
      <c r="A7" s="2" t="s">
        <v>113</v>
      </c>
    </row>
    <row r="8" spans="1:14" x14ac:dyDescent="0.3">
      <c r="A8" s="3"/>
      <c r="B8" s="3" t="s">
        <v>114</v>
      </c>
      <c r="C8" s="3" t="s">
        <v>115</v>
      </c>
      <c r="D8" s="3" t="s">
        <v>116</v>
      </c>
      <c r="E8" s="3" t="s">
        <v>117</v>
      </c>
      <c r="F8" s="3" t="s">
        <v>118</v>
      </c>
      <c r="G8" s="3" t="s">
        <v>119</v>
      </c>
      <c r="H8" s="3" t="s">
        <v>120</v>
      </c>
      <c r="I8" s="3" t="s">
        <v>121</v>
      </c>
      <c r="J8" s="3" t="s">
        <v>122</v>
      </c>
      <c r="K8" s="3" t="s">
        <v>123</v>
      </c>
      <c r="L8" s="3" t="s">
        <v>124</v>
      </c>
      <c r="M8" s="3" t="s">
        <v>125</v>
      </c>
      <c r="N8" s="3" t="s">
        <v>126</v>
      </c>
    </row>
    <row r="9" spans="1:14" x14ac:dyDescent="0.3">
      <c r="B9" s="1" t="s">
        <v>127</v>
      </c>
      <c r="C9" s="1" t="s">
        <v>312</v>
      </c>
      <c r="D9" s="1" t="s">
        <v>313</v>
      </c>
      <c r="E9" s="1">
        <v>2</v>
      </c>
      <c r="F9" s="4">
        <v>95460.32</v>
      </c>
      <c r="G9" s="4">
        <v>190920.64</v>
      </c>
    </row>
    <row r="10" spans="1:14" x14ac:dyDescent="0.3">
      <c r="H10" s="1" t="s">
        <v>314</v>
      </c>
      <c r="I10" s="1" t="s">
        <v>315</v>
      </c>
      <c r="J10" s="1" t="s">
        <v>316</v>
      </c>
      <c r="K10" s="4">
        <v>5014</v>
      </c>
      <c r="L10" s="1" t="s">
        <v>317</v>
      </c>
      <c r="M10" s="1">
        <v>1</v>
      </c>
    </row>
    <row r="11" spans="1:14" x14ac:dyDescent="0.3">
      <c r="H11" s="1" t="s">
        <v>146</v>
      </c>
      <c r="I11" s="1" t="s">
        <v>147</v>
      </c>
      <c r="J11" s="1" t="s">
        <v>148</v>
      </c>
      <c r="K11" s="4">
        <v>99</v>
      </c>
      <c r="L11" s="1" t="s">
        <v>149</v>
      </c>
      <c r="M11" s="1">
        <v>1</v>
      </c>
    </row>
    <row r="12" spans="1:14" x14ac:dyDescent="0.3">
      <c r="H12" s="1" t="s">
        <v>150</v>
      </c>
      <c r="I12" s="1" t="s">
        <v>318</v>
      </c>
      <c r="J12" s="1" t="s">
        <v>319</v>
      </c>
      <c r="K12" s="4">
        <v>580</v>
      </c>
      <c r="L12" s="1" t="s">
        <v>320</v>
      </c>
      <c r="M12" s="1">
        <v>1</v>
      </c>
    </row>
    <row r="13" spans="1:14" x14ac:dyDescent="0.3">
      <c r="H13" s="1" t="s">
        <v>154</v>
      </c>
      <c r="I13" s="1" t="s">
        <v>321</v>
      </c>
      <c r="J13" s="1" t="s">
        <v>322</v>
      </c>
      <c r="K13" s="4">
        <v>8199</v>
      </c>
      <c r="L13" s="1" t="s">
        <v>323</v>
      </c>
      <c r="M13" s="1">
        <v>1</v>
      </c>
    </row>
    <row r="14" spans="1:14" x14ac:dyDescent="0.3">
      <c r="H14" s="1" t="s">
        <v>324</v>
      </c>
      <c r="I14" s="1" t="s">
        <v>325</v>
      </c>
      <c r="J14" s="1" t="s">
        <v>322</v>
      </c>
      <c r="K14" s="4">
        <v>8199</v>
      </c>
      <c r="L14" s="1" t="s">
        <v>326</v>
      </c>
      <c r="M14" s="1">
        <v>1</v>
      </c>
    </row>
    <row r="15" spans="1:14" x14ac:dyDescent="0.3">
      <c r="H15" s="1" t="s">
        <v>327</v>
      </c>
      <c r="I15" s="1" t="s">
        <v>328</v>
      </c>
      <c r="J15" s="1" t="s">
        <v>329</v>
      </c>
      <c r="K15" s="4">
        <v>0</v>
      </c>
      <c r="L15" s="1" t="s">
        <v>330</v>
      </c>
      <c r="M15" s="1">
        <v>1</v>
      </c>
    </row>
    <row r="16" spans="1:14" x14ac:dyDescent="0.3">
      <c r="H16" s="1" t="s">
        <v>158</v>
      </c>
      <c r="I16" s="1" t="s">
        <v>331</v>
      </c>
      <c r="J16" s="1" t="s">
        <v>332</v>
      </c>
      <c r="K16" s="4">
        <v>217.45</v>
      </c>
      <c r="L16" s="1" t="s">
        <v>333</v>
      </c>
      <c r="M16" s="1">
        <v>1</v>
      </c>
    </row>
    <row r="17" spans="8:13" x14ac:dyDescent="0.3">
      <c r="H17" s="1" t="s">
        <v>162</v>
      </c>
      <c r="I17" s="1" t="s">
        <v>334</v>
      </c>
      <c r="J17" s="1" t="s">
        <v>164</v>
      </c>
      <c r="K17" s="4">
        <v>0</v>
      </c>
      <c r="L17" s="1" t="s">
        <v>335</v>
      </c>
      <c r="M17" s="1">
        <v>1</v>
      </c>
    </row>
    <row r="18" spans="8:13" x14ac:dyDescent="0.3">
      <c r="H18" s="1" t="s">
        <v>166</v>
      </c>
      <c r="I18" s="1" t="s">
        <v>167</v>
      </c>
      <c r="J18" s="1" t="s">
        <v>168</v>
      </c>
      <c r="K18" s="4">
        <v>0</v>
      </c>
      <c r="L18" s="1" t="s">
        <v>169</v>
      </c>
      <c r="M18" s="1">
        <v>1</v>
      </c>
    </row>
    <row r="19" spans="8:13" x14ac:dyDescent="0.3">
      <c r="H19" s="1" t="s">
        <v>170</v>
      </c>
      <c r="I19" s="1" t="s">
        <v>336</v>
      </c>
      <c r="J19" s="1" t="s">
        <v>337</v>
      </c>
      <c r="K19" s="4">
        <v>36576</v>
      </c>
      <c r="L19" s="1" t="s">
        <v>338</v>
      </c>
      <c r="M19" s="1">
        <v>32</v>
      </c>
    </row>
    <row r="20" spans="8:13" x14ac:dyDescent="0.3">
      <c r="H20" s="1" t="s">
        <v>174</v>
      </c>
      <c r="I20" s="1" t="s">
        <v>339</v>
      </c>
      <c r="J20" s="1" t="s">
        <v>340</v>
      </c>
      <c r="K20" s="4">
        <v>0</v>
      </c>
      <c r="L20" s="1" t="s">
        <v>341</v>
      </c>
      <c r="M20" s="1">
        <v>1</v>
      </c>
    </row>
    <row r="21" spans="8:13" x14ac:dyDescent="0.3">
      <c r="H21" s="1" t="s">
        <v>178</v>
      </c>
      <c r="I21" s="1" t="s">
        <v>342</v>
      </c>
      <c r="J21" s="1" t="s">
        <v>343</v>
      </c>
      <c r="K21" s="4">
        <v>3349</v>
      </c>
      <c r="L21" s="1" t="s">
        <v>344</v>
      </c>
      <c r="M21" s="1">
        <v>1</v>
      </c>
    </row>
    <row r="22" spans="8:13" x14ac:dyDescent="0.3">
      <c r="H22" s="1" t="s">
        <v>182</v>
      </c>
      <c r="I22" s="1" t="s">
        <v>345</v>
      </c>
      <c r="J22" s="1" t="s">
        <v>346</v>
      </c>
      <c r="K22" s="4">
        <v>10678.32</v>
      </c>
      <c r="L22" s="1" t="s">
        <v>347</v>
      </c>
      <c r="M22" s="1">
        <v>2</v>
      </c>
    </row>
    <row r="23" spans="8:13" x14ac:dyDescent="0.3">
      <c r="H23" s="1" t="s">
        <v>190</v>
      </c>
      <c r="I23" s="1" t="s">
        <v>348</v>
      </c>
      <c r="J23" s="1" t="s">
        <v>349</v>
      </c>
      <c r="K23" s="4">
        <v>0</v>
      </c>
      <c r="L23" s="1" t="s">
        <v>350</v>
      </c>
      <c r="M23" s="1">
        <v>1</v>
      </c>
    </row>
    <row r="24" spans="8:13" x14ac:dyDescent="0.3">
      <c r="H24" s="1" t="s">
        <v>194</v>
      </c>
      <c r="I24" s="1" t="s">
        <v>195</v>
      </c>
      <c r="J24" s="1" t="s">
        <v>196</v>
      </c>
      <c r="K24" s="4">
        <v>0</v>
      </c>
      <c r="L24" s="1" t="s">
        <v>197</v>
      </c>
      <c r="M24" s="1">
        <v>1</v>
      </c>
    </row>
    <row r="25" spans="8:13" x14ac:dyDescent="0.3">
      <c r="H25" s="1" t="s">
        <v>194</v>
      </c>
      <c r="I25" s="1" t="s">
        <v>351</v>
      </c>
      <c r="J25" s="1" t="s">
        <v>352</v>
      </c>
      <c r="K25" s="4">
        <v>0</v>
      </c>
      <c r="L25" s="1" t="s">
        <v>353</v>
      </c>
      <c r="M25" s="1">
        <v>1</v>
      </c>
    </row>
    <row r="26" spans="8:13" x14ac:dyDescent="0.3">
      <c r="H26" s="1" t="s">
        <v>198</v>
      </c>
      <c r="I26" s="1" t="s">
        <v>354</v>
      </c>
      <c r="J26" s="1" t="s">
        <v>355</v>
      </c>
      <c r="K26" s="4">
        <v>299</v>
      </c>
      <c r="L26" s="1" t="s">
        <v>356</v>
      </c>
      <c r="M26" s="1">
        <v>1</v>
      </c>
    </row>
    <row r="27" spans="8:13" x14ac:dyDescent="0.3">
      <c r="H27" s="1" t="s">
        <v>202</v>
      </c>
      <c r="I27" s="1" t="s">
        <v>203</v>
      </c>
      <c r="J27" s="1" t="s">
        <v>204</v>
      </c>
      <c r="K27" s="4">
        <v>1429</v>
      </c>
      <c r="L27" s="1" t="s">
        <v>205</v>
      </c>
      <c r="M27" s="1">
        <v>1</v>
      </c>
    </row>
    <row r="28" spans="8:13" x14ac:dyDescent="0.3">
      <c r="H28" s="1" t="s">
        <v>206</v>
      </c>
      <c r="I28" s="1" t="s">
        <v>207</v>
      </c>
      <c r="J28" s="1" t="s">
        <v>208</v>
      </c>
      <c r="K28" s="4">
        <v>70</v>
      </c>
      <c r="L28" s="1" t="s">
        <v>209</v>
      </c>
      <c r="M28" s="1">
        <v>2</v>
      </c>
    </row>
    <row r="29" spans="8:13" x14ac:dyDescent="0.3">
      <c r="H29" s="1" t="s">
        <v>210</v>
      </c>
      <c r="I29" s="1" t="s">
        <v>357</v>
      </c>
      <c r="J29" s="1" t="s">
        <v>358</v>
      </c>
      <c r="K29" s="4">
        <v>808.03</v>
      </c>
      <c r="L29" s="1" t="s">
        <v>359</v>
      </c>
      <c r="M29" s="1">
        <v>1</v>
      </c>
    </row>
    <row r="30" spans="8:13" x14ac:dyDescent="0.3">
      <c r="H30" s="1" t="s">
        <v>214</v>
      </c>
      <c r="I30" s="1" t="s">
        <v>360</v>
      </c>
      <c r="J30" s="1" t="s">
        <v>361</v>
      </c>
      <c r="K30" s="4">
        <v>450</v>
      </c>
      <c r="L30" s="1" t="s">
        <v>362</v>
      </c>
      <c r="M30" s="1">
        <v>1</v>
      </c>
    </row>
    <row r="31" spans="8:13" x14ac:dyDescent="0.3">
      <c r="H31" s="1" t="s">
        <v>245</v>
      </c>
      <c r="I31" s="1" t="s">
        <v>246</v>
      </c>
      <c r="J31" s="1" t="s">
        <v>247</v>
      </c>
      <c r="K31" s="4">
        <v>0</v>
      </c>
      <c r="L31" s="1" t="s">
        <v>248</v>
      </c>
      <c r="M31" s="1">
        <v>1</v>
      </c>
    </row>
    <row r="32" spans="8:13" x14ac:dyDescent="0.3">
      <c r="H32" s="1" t="s">
        <v>245</v>
      </c>
      <c r="I32" s="1" t="s">
        <v>249</v>
      </c>
      <c r="J32" s="1" t="s">
        <v>250</v>
      </c>
      <c r="K32" s="4">
        <v>99</v>
      </c>
      <c r="L32" s="1" t="s">
        <v>251</v>
      </c>
      <c r="M32" s="1">
        <v>1</v>
      </c>
    </row>
    <row r="33" spans="8:13" x14ac:dyDescent="0.3">
      <c r="H33" s="1" t="s">
        <v>245</v>
      </c>
      <c r="I33" s="1" t="s">
        <v>252</v>
      </c>
      <c r="J33" s="1" t="s">
        <v>253</v>
      </c>
      <c r="K33" s="4">
        <v>1288</v>
      </c>
      <c r="L33" s="1" t="s">
        <v>254</v>
      </c>
      <c r="M33" s="1">
        <v>1</v>
      </c>
    </row>
    <row r="34" spans="8:13" x14ac:dyDescent="0.3">
      <c r="H34" s="1" t="s">
        <v>218</v>
      </c>
      <c r="I34" s="1" t="s">
        <v>363</v>
      </c>
      <c r="J34" s="1" t="s">
        <v>364</v>
      </c>
      <c r="K34" s="4">
        <v>3224</v>
      </c>
      <c r="L34" s="1" t="s">
        <v>365</v>
      </c>
      <c r="M34" s="1">
        <v>1</v>
      </c>
    </row>
    <row r="35" spans="8:13" x14ac:dyDescent="0.3">
      <c r="H35" s="1" t="s">
        <v>222</v>
      </c>
      <c r="I35" s="1" t="s">
        <v>366</v>
      </c>
      <c r="J35" s="1" t="s">
        <v>367</v>
      </c>
      <c r="K35" s="4">
        <v>0</v>
      </c>
      <c r="L35" s="1" t="s">
        <v>368</v>
      </c>
      <c r="M35" s="1">
        <v>1</v>
      </c>
    </row>
    <row r="36" spans="8:13" x14ac:dyDescent="0.3">
      <c r="H36" s="1" t="s">
        <v>222</v>
      </c>
      <c r="I36" s="1" t="s">
        <v>369</v>
      </c>
      <c r="J36" s="1" t="s">
        <v>370</v>
      </c>
      <c r="K36" s="4">
        <v>8712</v>
      </c>
      <c r="L36" s="1" t="s">
        <v>371</v>
      </c>
      <c r="M36" s="1">
        <v>2</v>
      </c>
    </row>
    <row r="37" spans="8:13" x14ac:dyDescent="0.3">
      <c r="H37" s="1" t="s">
        <v>229</v>
      </c>
      <c r="I37" s="1" t="s">
        <v>372</v>
      </c>
      <c r="J37" s="1" t="s">
        <v>373</v>
      </c>
      <c r="K37" s="4">
        <v>49</v>
      </c>
      <c r="L37" s="1" t="s">
        <v>374</v>
      </c>
      <c r="M37" s="1">
        <v>1</v>
      </c>
    </row>
    <row r="38" spans="8:13" x14ac:dyDescent="0.3">
      <c r="H38" s="1" t="s">
        <v>233</v>
      </c>
      <c r="I38" s="1" t="s">
        <v>375</v>
      </c>
      <c r="J38" s="1" t="s">
        <v>376</v>
      </c>
      <c r="K38" s="4">
        <v>2700</v>
      </c>
      <c r="L38" s="1" t="s">
        <v>377</v>
      </c>
      <c r="M38" s="1">
        <v>1</v>
      </c>
    </row>
    <row r="39" spans="8:13" x14ac:dyDescent="0.3">
      <c r="H39" s="1" t="s">
        <v>255</v>
      </c>
      <c r="I39" s="1" t="s">
        <v>256</v>
      </c>
      <c r="J39" s="1" t="s">
        <v>257</v>
      </c>
      <c r="K39" s="4">
        <v>0</v>
      </c>
      <c r="L39" s="1" t="s">
        <v>258</v>
      </c>
      <c r="M39" s="1">
        <v>1</v>
      </c>
    </row>
    <row r="40" spans="8:13" x14ac:dyDescent="0.3">
      <c r="H40" s="1" t="s">
        <v>259</v>
      </c>
      <c r="I40" s="1" t="s">
        <v>378</v>
      </c>
      <c r="J40" s="1" t="s">
        <v>379</v>
      </c>
      <c r="K40" s="4">
        <v>0</v>
      </c>
      <c r="L40" s="1" t="s">
        <v>380</v>
      </c>
      <c r="M40" s="1">
        <v>1</v>
      </c>
    </row>
    <row r="41" spans="8:13" x14ac:dyDescent="0.3">
      <c r="H41" s="1" t="s">
        <v>263</v>
      </c>
      <c r="I41" s="1" t="s">
        <v>264</v>
      </c>
      <c r="J41" s="1" t="s">
        <v>265</v>
      </c>
      <c r="K41" s="4">
        <v>0</v>
      </c>
      <c r="L41" s="1" t="s">
        <v>266</v>
      </c>
      <c r="M41" s="1">
        <v>1</v>
      </c>
    </row>
    <row r="42" spans="8:13" x14ac:dyDescent="0.3">
      <c r="H42" s="1" t="s">
        <v>287</v>
      </c>
      <c r="I42" s="1" t="s">
        <v>288</v>
      </c>
      <c r="J42" s="1" t="s">
        <v>289</v>
      </c>
      <c r="K42" s="4">
        <v>0</v>
      </c>
      <c r="L42" s="1" t="s">
        <v>290</v>
      </c>
      <c r="M42" s="1">
        <v>1</v>
      </c>
    </row>
    <row r="43" spans="8:13" x14ac:dyDescent="0.3">
      <c r="H43" s="1" t="s">
        <v>237</v>
      </c>
      <c r="I43" s="1" t="s">
        <v>238</v>
      </c>
      <c r="J43" s="1" t="s">
        <v>239</v>
      </c>
      <c r="K43" s="4">
        <v>0</v>
      </c>
      <c r="L43" s="1" t="s">
        <v>240</v>
      </c>
      <c r="M43" s="1">
        <v>1</v>
      </c>
    </row>
    <row r="44" spans="8:13" x14ac:dyDescent="0.3">
      <c r="H44" s="1" t="s">
        <v>241</v>
      </c>
      <c r="I44" s="1" t="s">
        <v>242</v>
      </c>
      <c r="J44" s="1" t="s">
        <v>243</v>
      </c>
      <c r="K44" s="4">
        <v>0</v>
      </c>
      <c r="L44" s="1" t="s">
        <v>244</v>
      </c>
      <c r="M44" s="1">
        <v>1</v>
      </c>
    </row>
    <row r="45" spans="8:13" x14ac:dyDescent="0.3">
      <c r="H45" s="1" t="s">
        <v>267</v>
      </c>
      <c r="I45" s="1" t="s">
        <v>268</v>
      </c>
      <c r="J45" s="1" t="s">
        <v>269</v>
      </c>
      <c r="K45" s="4">
        <v>187.51</v>
      </c>
      <c r="L45" s="1" t="s">
        <v>270</v>
      </c>
      <c r="M45" s="1">
        <v>1</v>
      </c>
    </row>
    <row r="46" spans="8:13" x14ac:dyDescent="0.3">
      <c r="H46" s="1" t="s">
        <v>271</v>
      </c>
      <c r="I46" s="1" t="s">
        <v>272</v>
      </c>
      <c r="J46" s="1" t="s">
        <v>273</v>
      </c>
      <c r="K46" s="4">
        <v>0</v>
      </c>
      <c r="L46" s="1" t="s">
        <v>274</v>
      </c>
      <c r="M46" s="1">
        <v>1</v>
      </c>
    </row>
    <row r="47" spans="8:13" x14ac:dyDescent="0.3">
      <c r="H47" s="1" t="s">
        <v>275</v>
      </c>
      <c r="I47" s="1" t="s">
        <v>381</v>
      </c>
      <c r="J47" s="1" t="s">
        <v>382</v>
      </c>
      <c r="K47" s="4">
        <v>49</v>
      </c>
      <c r="L47" s="1" t="s">
        <v>383</v>
      </c>
      <c r="M47" s="1">
        <v>1</v>
      </c>
    </row>
    <row r="48" spans="8:13" x14ac:dyDescent="0.3">
      <c r="H48" s="1" t="s">
        <v>279</v>
      </c>
      <c r="I48" s="1" t="s">
        <v>384</v>
      </c>
      <c r="J48" s="1" t="s">
        <v>385</v>
      </c>
      <c r="K48" s="4">
        <v>99</v>
      </c>
      <c r="L48" s="1" t="s">
        <v>386</v>
      </c>
      <c r="M48" s="1">
        <v>1</v>
      </c>
    </row>
    <row r="49" spans="2:13" x14ac:dyDescent="0.3">
      <c r="H49" s="1" t="s">
        <v>283</v>
      </c>
      <c r="I49" s="1" t="s">
        <v>387</v>
      </c>
      <c r="J49" s="1" t="s">
        <v>388</v>
      </c>
      <c r="K49" s="4">
        <v>0</v>
      </c>
      <c r="L49" s="1" t="s">
        <v>389</v>
      </c>
      <c r="M49" s="1">
        <v>1</v>
      </c>
    </row>
    <row r="50" spans="2:13" x14ac:dyDescent="0.3">
      <c r="H50" s="1" t="s">
        <v>291</v>
      </c>
      <c r="I50" s="1" t="s">
        <v>292</v>
      </c>
      <c r="J50" s="1" t="s">
        <v>293</v>
      </c>
      <c r="K50" s="4">
        <v>0</v>
      </c>
      <c r="L50" s="1" t="s">
        <v>294</v>
      </c>
      <c r="M50" s="1">
        <v>1</v>
      </c>
    </row>
    <row r="51" spans="2:13" x14ac:dyDescent="0.3">
      <c r="H51" s="1" t="s">
        <v>390</v>
      </c>
      <c r="I51" s="1" t="s">
        <v>391</v>
      </c>
      <c r="J51" s="1" t="s">
        <v>297</v>
      </c>
      <c r="K51" s="4">
        <v>3085.01</v>
      </c>
      <c r="L51" s="1" t="s">
        <v>392</v>
      </c>
      <c r="M51" s="1">
        <v>1</v>
      </c>
    </row>
    <row r="52" spans="2:13" x14ac:dyDescent="0.3">
      <c r="B52" s="1" t="s">
        <v>127</v>
      </c>
      <c r="C52" s="1" t="s">
        <v>312</v>
      </c>
      <c r="D52" s="1" t="s">
        <v>393</v>
      </c>
      <c r="E52" s="1">
        <v>4</v>
      </c>
      <c r="F52" s="4">
        <v>88222.32</v>
      </c>
      <c r="G52" s="4">
        <v>352889.28</v>
      </c>
    </row>
    <row r="53" spans="2:13" x14ac:dyDescent="0.3">
      <c r="H53" s="1" t="s">
        <v>314</v>
      </c>
      <c r="I53" s="1" t="s">
        <v>315</v>
      </c>
      <c r="J53" s="1" t="s">
        <v>316</v>
      </c>
      <c r="K53" s="4">
        <v>5014</v>
      </c>
      <c r="L53" s="1" t="s">
        <v>317</v>
      </c>
      <c r="M53" s="1">
        <v>1</v>
      </c>
    </row>
    <row r="54" spans="2:13" x14ac:dyDescent="0.3">
      <c r="H54" s="1" t="s">
        <v>146</v>
      </c>
      <c r="I54" s="1" t="s">
        <v>147</v>
      </c>
      <c r="J54" s="1" t="s">
        <v>148</v>
      </c>
      <c r="K54" s="4">
        <v>99</v>
      </c>
      <c r="L54" s="1" t="s">
        <v>149</v>
      </c>
      <c r="M54" s="1">
        <v>1</v>
      </c>
    </row>
    <row r="55" spans="2:13" x14ac:dyDescent="0.3">
      <c r="H55" s="1" t="s">
        <v>150</v>
      </c>
      <c r="I55" s="1" t="s">
        <v>318</v>
      </c>
      <c r="J55" s="1" t="s">
        <v>319</v>
      </c>
      <c r="K55" s="4">
        <v>580</v>
      </c>
      <c r="L55" s="1" t="s">
        <v>320</v>
      </c>
      <c r="M55" s="1">
        <v>1</v>
      </c>
    </row>
    <row r="56" spans="2:13" x14ac:dyDescent="0.3">
      <c r="H56" s="1" t="s">
        <v>154</v>
      </c>
      <c r="I56" s="1" t="s">
        <v>321</v>
      </c>
      <c r="J56" s="1" t="s">
        <v>322</v>
      </c>
      <c r="K56" s="4">
        <v>8199</v>
      </c>
      <c r="L56" s="1" t="s">
        <v>323</v>
      </c>
      <c r="M56" s="1">
        <v>1</v>
      </c>
    </row>
    <row r="57" spans="2:13" x14ac:dyDescent="0.3">
      <c r="H57" s="1" t="s">
        <v>324</v>
      </c>
      <c r="I57" s="1" t="s">
        <v>325</v>
      </c>
      <c r="J57" s="1" t="s">
        <v>322</v>
      </c>
      <c r="K57" s="4">
        <v>8199</v>
      </c>
      <c r="L57" s="1" t="s">
        <v>326</v>
      </c>
      <c r="M57" s="1">
        <v>1</v>
      </c>
    </row>
    <row r="58" spans="2:13" x14ac:dyDescent="0.3">
      <c r="H58" s="1" t="s">
        <v>327</v>
      </c>
      <c r="I58" s="1" t="s">
        <v>328</v>
      </c>
      <c r="J58" s="1" t="s">
        <v>329</v>
      </c>
      <c r="K58" s="4">
        <v>0</v>
      </c>
      <c r="L58" s="1" t="s">
        <v>330</v>
      </c>
      <c r="M58" s="1">
        <v>1</v>
      </c>
    </row>
    <row r="59" spans="2:13" x14ac:dyDescent="0.3">
      <c r="H59" s="1" t="s">
        <v>158</v>
      </c>
      <c r="I59" s="1" t="s">
        <v>331</v>
      </c>
      <c r="J59" s="1" t="s">
        <v>332</v>
      </c>
      <c r="K59" s="4">
        <v>217.45</v>
      </c>
      <c r="L59" s="1" t="s">
        <v>333</v>
      </c>
      <c r="M59" s="1">
        <v>1</v>
      </c>
    </row>
    <row r="60" spans="2:13" x14ac:dyDescent="0.3">
      <c r="H60" s="1" t="s">
        <v>162</v>
      </c>
      <c r="I60" s="1" t="s">
        <v>334</v>
      </c>
      <c r="J60" s="1" t="s">
        <v>164</v>
      </c>
      <c r="K60" s="4">
        <v>0</v>
      </c>
      <c r="L60" s="1" t="s">
        <v>335</v>
      </c>
      <c r="M60" s="1">
        <v>1</v>
      </c>
    </row>
    <row r="61" spans="2:13" x14ac:dyDescent="0.3">
      <c r="H61" s="1" t="s">
        <v>166</v>
      </c>
      <c r="I61" s="1" t="s">
        <v>167</v>
      </c>
      <c r="J61" s="1" t="s">
        <v>168</v>
      </c>
      <c r="K61" s="4">
        <v>0</v>
      </c>
      <c r="L61" s="1" t="s">
        <v>169</v>
      </c>
      <c r="M61" s="1">
        <v>1</v>
      </c>
    </row>
    <row r="62" spans="2:13" x14ac:dyDescent="0.3">
      <c r="H62" s="1" t="s">
        <v>170</v>
      </c>
      <c r="I62" s="1" t="s">
        <v>336</v>
      </c>
      <c r="J62" s="1" t="s">
        <v>337</v>
      </c>
      <c r="K62" s="4">
        <v>36576</v>
      </c>
      <c r="L62" s="1" t="s">
        <v>338</v>
      </c>
      <c r="M62" s="1">
        <v>32</v>
      </c>
    </row>
    <row r="63" spans="2:13" x14ac:dyDescent="0.3">
      <c r="H63" s="1" t="s">
        <v>174</v>
      </c>
      <c r="I63" s="1" t="s">
        <v>339</v>
      </c>
      <c r="J63" s="1" t="s">
        <v>340</v>
      </c>
      <c r="K63" s="4">
        <v>0</v>
      </c>
      <c r="L63" s="1" t="s">
        <v>341</v>
      </c>
      <c r="M63" s="1">
        <v>1</v>
      </c>
    </row>
    <row r="64" spans="2:13" x14ac:dyDescent="0.3">
      <c r="H64" s="1" t="s">
        <v>178</v>
      </c>
      <c r="I64" s="1" t="s">
        <v>342</v>
      </c>
      <c r="J64" s="1" t="s">
        <v>343</v>
      </c>
      <c r="K64" s="4">
        <v>3349</v>
      </c>
      <c r="L64" s="1" t="s">
        <v>344</v>
      </c>
      <c r="M64" s="1">
        <v>1</v>
      </c>
    </row>
    <row r="65" spans="8:13" x14ac:dyDescent="0.3">
      <c r="H65" s="1" t="s">
        <v>182</v>
      </c>
      <c r="I65" s="1" t="s">
        <v>345</v>
      </c>
      <c r="J65" s="1" t="s">
        <v>346</v>
      </c>
      <c r="K65" s="4">
        <v>10678.32</v>
      </c>
      <c r="L65" s="1" t="s">
        <v>347</v>
      </c>
      <c r="M65" s="1">
        <v>2</v>
      </c>
    </row>
    <row r="66" spans="8:13" x14ac:dyDescent="0.3">
      <c r="H66" s="1" t="s">
        <v>190</v>
      </c>
      <c r="I66" s="1" t="s">
        <v>348</v>
      </c>
      <c r="J66" s="1" t="s">
        <v>349</v>
      </c>
      <c r="K66" s="4">
        <v>0</v>
      </c>
      <c r="L66" s="1" t="s">
        <v>350</v>
      </c>
      <c r="M66" s="1">
        <v>1</v>
      </c>
    </row>
    <row r="67" spans="8:13" x14ac:dyDescent="0.3">
      <c r="H67" s="1" t="s">
        <v>194</v>
      </c>
      <c r="I67" s="1" t="s">
        <v>195</v>
      </c>
      <c r="J67" s="1" t="s">
        <v>196</v>
      </c>
      <c r="K67" s="4">
        <v>0</v>
      </c>
      <c r="L67" s="1" t="s">
        <v>197</v>
      </c>
      <c r="M67" s="1">
        <v>1</v>
      </c>
    </row>
    <row r="68" spans="8:13" x14ac:dyDescent="0.3">
      <c r="H68" s="1" t="s">
        <v>194</v>
      </c>
      <c r="I68" s="1" t="s">
        <v>351</v>
      </c>
      <c r="J68" s="1" t="s">
        <v>352</v>
      </c>
      <c r="K68" s="4">
        <v>0</v>
      </c>
      <c r="L68" s="1" t="s">
        <v>353</v>
      </c>
      <c r="M68" s="1">
        <v>1</v>
      </c>
    </row>
    <row r="69" spans="8:13" x14ac:dyDescent="0.3">
      <c r="H69" s="1" t="s">
        <v>198</v>
      </c>
      <c r="I69" s="1" t="s">
        <v>354</v>
      </c>
      <c r="J69" s="1" t="s">
        <v>355</v>
      </c>
      <c r="K69" s="4">
        <v>299</v>
      </c>
      <c r="L69" s="1" t="s">
        <v>356</v>
      </c>
      <c r="M69" s="1">
        <v>1</v>
      </c>
    </row>
    <row r="70" spans="8:13" x14ac:dyDescent="0.3">
      <c r="H70" s="1" t="s">
        <v>202</v>
      </c>
      <c r="I70" s="1" t="s">
        <v>203</v>
      </c>
      <c r="J70" s="1" t="s">
        <v>204</v>
      </c>
      <c r="K70" s="4">
        <v>1429</v>
      </c>
      <c r="L70" s="1" t="s">
        <v>205</v>
      </c>
      <c r="M70" s="1">
        <v>1</v>
      </c>
    </row>
    <row r="71" spans="8:13" x14ac:dyDescent="0.3">
      <c r="H71" s="1" t="s">
        <v>206</v>
      </c>
      <c r="I71" s="1" t="s">
        <v>207</v>
      </c>
      <c r="J71" s="1" t="s">
        <v>208</v>
      </c>
      <c r="K71" s="4">
        <v>70</v>
      </c>
      <c r="L71" s="1" t="s">
        <v>209</v>
      </c>
      <c r="M71" s="1">
        <v>2</v>
      </c>
    </row>
    <row r="72" spans="8:13" x14ac:dyDescent="0.3">
      <c r="H72" s="1" t="s">
        <v>210</v>
      </c>
      <c r="I72" s="1" t="s">
        <v>357</v>
      </c>
      <c r="J72" s="1" t="s">
        <v>358</v>
      </c>
      <c r="K72" s="4">
        <v>808.03</v>
      </c>
      <c r="L72" s="1" t="s">
        <v>359</v>
      </c>
      <c r="M72" s="1">
        <v>1</v>
      </c>
    </row>
    <row r="73" spans="8:13" x14ac:dyDescent="0.3">
      <c r="H73" s="1" t="s">
        <v>214</v>
      </c>
      <c r="I73" s="1" t="s">
        <v>360</v>
      </c>
      <c r="J73" s="1" t="s">
        <v>361</v>
      </c>
      <c r="K73" s="4">
        <v>450</v>
      </c>
      <c r="L73" s="1" t="s">
        <v>362</v>
      </c>
      <c r="M73" s="1">
        <v>1</v>
      </c>
    </row>
    <row r="74" spans="8:13" x14ac:dyDescent="0.3">
      <c r="H74" s="1" t="s">
        <v>245</v>
      </c>
      <c r="I74" s="1" t="s">
        <v>246</v>
      </c>
      <c r="J74" s="1" t="s">
        <v>247</v>
      </c>
      <c r="K74" s="4">
        <v>0</v>
      </c>
      <c r="L74" s="1" t="s">
        <v>248</v>
      </c>
      <c r="M74" s="1">
        <v>1</v>
      </c>
    </row>
    <row r="75" spans="8:13" x14ac:dyDescent="0.3">
      <c r="H75" s="1" t="s">
        <v>245</v>
      </c>
      <c r="I75" s="1" t="s">
        <v>249</v>
      </c>
      <c r="J75" s="1" t="s">
        <v>250</v>
      </c>
      <c r="K75" s="4">
        <v>99</v>
      </c>
      <c r="L75" s="1" t="s">
        <v>251</v>
      </c>
      <c r="M75" s="1">
        <v>1</v>
      </c>
    </row>
    <row r="76" spans="8:13" x14ac:dyDescent="0.3">
      <c r="H76" s="1" t="s">
        <v>245</v>
      </c>
      <c r="I76" s="1" t="s">
        <v>252</v>
      </c>
      <c r="J76" s="1" t="s">
        <v>253</v>
      </c>
      <c r="K76" s="4">
        <v>1288</v>
      </c>
      <c r="L76" s="1" t="s">
        <v>254</v>
      </c>
      <c r="M76" s="1">
        <v>1</v>
      </c>
    </row>
    <row r="77" spans="8:13" x14ac:dyDescent="0.3">
      <c r="H77" s="1" t="s">
        <v>218</v>
      </c>
      <c r="I77" s="1" t="s">
        <v>363</v>
      </c>
      <c r="J77" s="1" t="s">
        <v>364</v>
      </c>
      <c r="K77" s="4">
        <v>3224</v>
      </c>
      <c r="L77" s="1" t="s">
        <v>365</v>
      </c>
      <c r="M77" s="1">
        <v>1</v>
      </c>
    </row>
    <row r="78" spans="8:13" x14ac:dyDescent="0.3">
      <c r="H78" s="1" t="s">
        <v>222</v>
      </c>
      <c r="I78" s="1" t="s">
        <v>366</v>
      </c>
      <c r="J78" s="1" t="s">
        <v>367</v>
      </c>
      <c r="K78" s="4">
        <v>0</v>
      </c>
      <c r="L78" s="1" t="s">
        <v>368</v>
      </c>
      <c r="M78" s="1">
        <v>1</v>
      </c>
    </row>
    <row r="79" spans="8:13" x14ac:dyDescent="0.3">
      <c r="H79" s="1" t="s">
        <v>222</v>
      </c>
      <c r="I79" s="1" t="s">
        <v>394</v>
      </c>
      <c r="J79" s="1" t="s">
        <v>395</v>
      </c>
      <c r="K79" s="4">
        <v>1474</v>
      </c>
      <c r="L79" s="1" t="s">
        <v>396</v>
      </c>
      <c r="M79" s="1">
        <v>1</v>
      </c>
    </row>
    <row r="80" spans="8:13" x14ac:dyDescent="0.3">
      <c r="H80" s="1" t="s">
        <v>229</v>
      </c>
      <c r="I80" s="1" t="s">
        <v>372</v>
      </c>
      <c r="J80" s="1" t="s">
        <v>373</v>
      </c>
      <c r="K80" s="4">
        <v>49</v>
      </c>
      <c r="L80" s="1" t="s">
        <v>374</v>
      </c>
      <c r="M80" s="1">
        <v>1</v>
      </c>
    </row>
    <row r="81" spans="8:13" x14ac:dyDescent="0.3">
      <c r="H81" s="1" t="s">
        <v>233</v>
      </c>
      <c r="I81" s="1" t="s">
        <v>375</v>
      </c>
      <c r="J81" s="1" t="s">
        <v>376</v>
      </c>
      <c r="K81" s="4">
        <v>2700</v>
      </c>
      <c r="L81" s="1" t="s">
        <v>377</v>
      </c>
      <c r="M81" s="1">
        <v>1</v>
      </c>
    </row>
    <row r="82" spans="8:13" x14ac:dyDescent="0.3">
      <c r="H82" s="1" t="s">
        <v>255</v>
      </c>
      <c r="I82" s="1" t="s">
        <v>256</v>
      </c>
      <c r="J82" s="1" t="s">
        <v>257</v>
      </c>
      <c r="K82" s="4">
        <v>0</v>
      </c>
      <c r="L82" s="1" t="s">
        <v>258</v>
      </c>
      <c r="M82" s="1">
        <v>1</v>
      </c>
    </row>
    <row r="83" spans="8:13" x14ac:dyDescent="0.3">
      <c r="H83" s="1" t="s">
        <v>259</v>
      </c>
      <c r="I83" s="1" t="s">
        <v>378</v>
      </c>
      <c r="J83" s="1" t="s">
        <v>379</v>
      </c>
      <c r="K83" s="4">
        <v>0</v>
      </c>
      <c r="L83" s="1" t="s">
        <v>380</v>
      </c>
      <c r="M83" s="1">
        <v>1</v>
      </c>
    </row>
    <row r="84" spans="8:13" x14ac:dyDescent="0.3">
      <c r="H84" s="1" t="s">
        <v>263</v>
      </c>
      <c r="I84" s="1" t="s">
        <v>264</v>
      </c>
      <c r="J84" s="1" t="s">
        <v>265</v>
      </c>
      <c r="K84" s="4">
        <v>0</v>
      </c>
      <c r="L84" s="1" t="s">
        <v>266</v>
      </c>
      <c r="M84" s="1">
        <v>1</v>
      </c>
    </row>
    <row r="85" spans="8:13" x14ac:dyDescent="0.3">
      <c r="H85" s="1" t="s">
        <v>287</v>
      </c>
      <c r="I85" s="1" t="s">
        <v>288</v>
      </c>
      <c r="J85" s="1" t="s">
        <v>289</v>
      </c>
      <c r="K85" s="4">
        <v>0</v>
      </c>
      <c r="L85" s="1" t="s">
        <v>290</v>
      </c>
      <c r="M85" s="1">
        <v>1</v>
      </c>
    </row>
    <row r="86" spans="8:13" x14ac:dyDescent="0.3">
      <c r="H86" s="1" t="s">
        <v>237</v>
      </c>
      <c r="I86" s="1" t="s">
        <v>238</v>
      </c>
      <c r="J86" s="1" t="s">
        <v>239</v>
      </c>
      <c r="K86" s="4">
        <v>0</v>
      </c>
      <c r="L86" s="1" t="s">
        <v>240</v>
      </c>
      <c r="M86" s="1">
        <v>1</v>
      </c>
    </row>
    <row r="87" spans="8:13" x14ac:dyDescent="0.3">
      <c r="H87" s="1" t="s">
        <v>241</v>
      </c>
      <c r="I87" s="1" t="s">
        <v>242</v>
      </c>
      <c r="J87" s="1" t="s">
        <v>243</v>
      </c>
      <c r="K87" s="4">
        <v>0</v>
      </c>
      <c r="L87" s="1" t="s">
        <v>244</v>
      </c>
      <c r="M87" s="1">
        <v>1</v>
      </c>
    </row>
    <row r="88" spans="8:13" x14ac:dyDescent="0.3">
      <c r="H88" s="1" t="s">
        <v>267</v>
      </c>
      <c r="I88" s="1" t="s">
        <v>268</v>
      </c>
      <c r="J88" s="1" t="s">
        <v>269</v>
      </c>
      <c r="K88" s="4">
        <v>187.51</v>
      </c>
      <c r="L88" s="1" t="s">
        <v>270</v>
      </c>
      <c r="M88" s="1">
        <v>1</v>
      </c>
    </row>
    <row r="89" spans="8:13" x14ac:dyDescent="0.3">
      <c r="H89" s="1" t="s">
        <v>271</v>
      </c>
      <c r="I89" s="1" t="s">
        <v>272</v>
      </c>
      <c r="J89" s="1" t="s">
        <v>273</v>
      </c>
      <c r="K89" s="4">
        <v>0</v>
      </c>
      <c r="L89" s="1" t="s">
        <v>274</v>
      </c>
      <c r="M89" s="1">
        <v>1</v>
      </c>
    </row>
    <row r="90" spans="8:13" x14ac:dyDescent="0.3">
      <c r="H90" s="1" t="s">
        <v>275</v>
      </c>
      <c r="I90" s="1" t="s">
        <v>381</v>
      </c>
      <c r="J90" s="1" t="s">
        <v>382</v>
      </c>
      <c r="K90" s="4">
        <v>49</v>
      </c>
      <c r="L90" s="1" t="s">
        <v>383</v>
      </c>
      <c r="M90" s="1">
        <v>1</v>
      </c>
    </row>
    <row r="91" spans="8:13" x14ac:dyDescent="0.3">
      <c r="H91" s="1" t="s">
        <v>279</v>
      </c>
      <c r="I91" s="1" t="s">
        <v>384</v>
      </c>
      <c r="J91" s="1" t="s">
        <v>385</v>
      </c>
      <c r="K91" s="4">
        <v>99</v>
      </c>
      <c r="L91" s="1" t="s">
        <v>386</v>
      </c>
      <c r="M91" s="1">
        <v>1</v>
      </c>
    </row>
    <row r="92" spans="8:13" x14ac:dyDescent="0.3">
      <c r="H92" s="1" t="s">
        <v>283</v>
      </c>
      <c r="I92" s="1" t="s">
        <v>387</v>
      </c>
      <c r="J92" s="1" t="s">
        <v>388</v>
      </c>
      <c r="K92" s="4">
        <v>0</v>
      </c>
      <c r="L92" s="1" t="s">
        <v>389</v>
      </c>
      <c r="M92" s="1">
        <v>1</v>
      </c>
    </row>
    <row r="93" spans="8:13" x14ac:dyDescent="0.3">
      <c r="H93" s="1" t="s">
        <v>291</v>
      </c>
      <c r="I93" s="1" t="s">
        <v>292</v>
      </c>
      <c r="J93" s="1" t="s">
        <v>293</v>
      </c>
      <c r="K93" s="4">
        <v>0</v>
      </c>
      <c r="L93" s="1" t="s">
        <v>294</v>
      </c>
      <c r="M93" s="1">
        <v>1</v>
      </c>
    </row>
    <row r="94" spans="8:13" x14ac:dyDescent="0.3">
      <c r="H94" s="1" t="s">
        <v>390</v>
      </c>
      <c r="I94" s="1" t="s">
        <v>391</v>
      </c>
      <c r="J94" s="1" t="s">
        <v>297</v>
      </c>
      <c r="K94" s="4">
        <v>3085.01</v>
      </c>
      <c r="L94" s="1" t="s">
        <v>392</v>
      </c>
      <c r="M94" s="1">
        <v>1</v>
      </c>
    </row>
    <row r="97" spans="1:1" x14ac:dyDescent="0.3">
      <c r="A97" s="1" t="s">
        <v>307</v>
      </c>
    </row>
  </sheetData>
  <pageMargins left="0.75" right="0.75" top="0.75" bottom="0.5" header="0.5" footer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EE865589E31842B4BEFFD6263ECB93" ma:contentTypeVersion="16" ma:contentTypeDescription="Create a new document." ma:contentTypeScope="" ma:versionID="2febd06703fb83b3a45afd88fd636c7f">
  <xsd:schema xmlns:xsd="http://www.w3.org/2001/XMLSchema" xmlns:xs="http://www.w3.org/2001/XMLSchema" xmlns:p="http://schemas.microsoft.com/office/2006/metadata/properties" xmlns:ns1="http://schemas.microsoft.com/sharepoint/v3" xmlns:ns2="fa3e9ded-7345-46bb-8d4a-2162773d1a26" xmlns:ns3="adea1bd8-78b7-4105-85bd-f4f6d9c5a717" targetNamespace="http://schemas.microsoft.com/office/2006/metadata/properties" ma:root="true" ma:fieldsID="5bca61a65a4c3ff6a4271bfca60fab8e" ns1:_="" ns2:_="" ns3:_="">
    <xsd:import namespace="http://schemas.microsoft.com/sharepoint/v3"/>
    <xsd:import namespace="fa3e9ded-7345-46bb-8d4a-2162773d1a26"/>
    <xsd:import namespace="adea1bd8-78b7-4105-85bd-f4f6d9c5a7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andotherSharePoint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ded-7345-46bb-8d4a-2162773d1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NotesandotherSharePoint" ma:index="21" nillable="true" ma:displayName="Notes and other SharePoint" ma:format="Dropdown" ma:internalName="NotesandotherSharePoi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a1bd8-78b7-4105-85bd-f4f6d9c5a7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2c841d9-3cbc-4447-9b89-18d3cbeb3a3b}" ma:internalName="TaxCatchAll" ma:showField="CatchAllData" ma:web="adea1bd8-78b7-4105-85bd-f4f6d9c5a7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adea1bd8-78b7-4105-85bd-f4f6d9c5a717" xsi:nil="true"/>
    <lcf76f155ced4ddcb4097134ff3c332f xmlns="fa3e9ded-7345-46bb-8d4a-2162773d1a26">
      <Terms xmlns="http://schemas.microsoft.com/office/infopath/2007/PartnerControls"/>
    </lcf76f155ced4ddcb4097134ff3c332f>
    <SharedWithUsers xmlns="adea1bd8-78b7-4105-85bd-f4f6d9c5a717">
      <UserInfo>
        <DisplayName/>
        <AccountId xsi:nil="true"/>
        <AccountType/>
      </UserInfo>
    </SharedWithUsers>
    <NotesandotherSharePoint xmlns="fa3e9ded-7345-46bb-8d4a-2162773d1a26" xsi:nil="true"/>
  </documentManagement>
</p:properties>
</file>

<file path=customXml/itemProps1.xml><?xml version="1.0" encoding="utf-8"?>
<ds:datastoreItem xmlns:ds="http://schemas.openxmlformats.org/officeDocument/2006/customXml" ds:itemID="{56B26669-694E-4D55-8CAE-1454A0F47A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396AE9-80B1-42C7-9FE8-2CCFA2862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3e9ded-7345-46bb-8d4a-2162773d1a26"/>
    <ds:schemaRef ds:uri="adea1bd8-78b7-4105-85bd-f4f6d9c5a7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F69BA7-F8DC-489D-B025-797E1384EAF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fa3e9ded-7345-46bb-8d4a-2162773d1a26"/>
    <ds:schemaRef ds:uri="adea1bd8-78b7-4105-85bd-f4f6d9c5a717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</vt:lpstr>
      <vt:lpstr>GOAL Export</vt:lpstr>
      <vt:lpstr>PnL SN6600-LD</vt:lpstr>
      <vt:lpstr>Services Summary</vt:lpstr>
      <vt:lpstr>DW2000P_1</vt:lpstr>
      <vt:lpstr>Compute_Management</vt:lpstr>
    </vt:vector>
  </TitlesOfParts>
  <Manager/>
  <Company>Dell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Chan, Yen_Mei</dc:creator>
  <cp:keywords/>
  <dc:description/>
  <cp:lastModifiedBy>Abuzaid, Abdullah</cp:lastModifiedBy>
  <cp:revision/>
  <dcterms:created xsi:type="dcterms:W3CDTF">2024-12-31T19:59:33Z</dcterms:created>
  <dcterms:modified xsi:type="dcterms:W3CDTF">2026-09-22T14:50:53Z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2024-12-31T20:00:33Z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d71f9a86-0cd7-42ea-8b53-881734af6450</vt:lpwstr>
  </property>
  <property fmtid="{D5CDD505-2E9C-101B-9397-08002B2CF9AE}" pid="8" name="MSIP_Label_73dd1fcc-24d7-4f55-9dc2-c1518f171327_ContentBits">
    <vt:lpwstr>2</vt:lpwstr>
  </property>
  <property fmtid="{D5CDD505-2E9C-101B-9397-08002B2CF9AE}" pid="9" name="ContentTypeId">
    <vt:lpwstr>0x01010013EE865589E31842B4BEFFD6263ECB93</vt:lpwstr>
  </property>
  <property fmtid="{D5CDD505-2E9C-101B-9397-08002B2CF9AE}" pid="10" name="MediaServiceImageTags">
    <vt:lpwstr/>
  </property>
  <property fmtid="{D5CDD505-2E9C-101B-9397-08002B2CF9AE}" pid="11" name="Order">
    <vt:r8>11300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Linktolatestversion">
    <vt:lpwstr>, </vt:lpwstr>
  </property>
</Properties>
</file>